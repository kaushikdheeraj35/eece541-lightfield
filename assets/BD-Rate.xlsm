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ryama\Desktop\"/>
    </mc:Choice>
  </mc:AlternateContent>
  <bookViews>
    <workbookView xWindow="-15" yWindow="-15" windowWidth="14400" windowHeight="11745" tabRatio="865" activeTab="3"/>
  </bookViews>
  <sheets>
    <sheet name="Summary" sheetId="16" r:id="rId1"/>
    <sheet name="AI-SCC" sheetId="1" r:id="rId2"/>
    <sheet name="RA-SCC" sheetId="30" r:id="rId3"/>
    <sheet name="LB-SCC" sheetId="31" r:id="rId4"/>
  </sheets>
  <calcPr calcId="152511"/>
</workbook>
</file>

<file path=xl/calcChain.xml><?xml version="1.0" encoding="utf-8"?>
<calcChain xmlns="http://schemas.openxmlformats.org/spreadsheetml/2006/main">
  <c r="B123" i="31" l="1"/>
  <c r="B124" i="31"/>
  <c r="B125" i="31"/>
  <c r="B126" i="31"/>
  <c r="B127" i="31"/>
  <c r="B128" i="31"/>
  <c r="B129" i="31"/>
  <c r="B122" i="31"/>
  <c r="B114" i="30"/>
  <c r="B108" i="31"/>
  <c r="B109" i="31"/>
  <c r="B110" i="31"/>
  <c r="B111" i="31"/>
  <c r="B112" i="31"/>
  <c r="B113" i="31"/>
  <c r="B114" i="31"/>
  <c r="B107" i="31"/>
  <c r="B123" i="30"/>
  <c r="B124" i="30"/>
  <c r="B125" i="30"/>
  <c r="B126" i="30"/>
  <c r="B127" i="30"/>
  <c r="B128" i="30"/>
  <c r="B129" i="30"/>
  <c r="B122" i="30"/>
  <c r="B108" i="30"/>
  <c r="B109" i="30"/>
  <c r="B110" i="30"/>
  <c r="B111" i="30"/>
  <c r="B112" i="30"/>
  <c r="B113" i="30"/>
  <c r="B107" i="30"/>
  <c r="B123" i="1"/>
  <c r="B124" i="1"/>
  <c r="B125" i="1"/>
  <c r="B126" i="1"/>
  <c r="B127" i="1"/>
  <c r="B128" i="1"/>
  <c r="B129" i="1"/>
  <c r="B122" i="1"/>
  <c r="B114" i="1"/>
  <c r="B113" i="1"/>
  <c r="B112" i="1"/>
  <c r="B111" i="1"/>
  <c r="B110" i="1"/>
  <c r="B109" i="1"/>
  <c r="B108" i="1"/>
  <c r="B107" i="1"/>
  <c r="L1" i="31"/>
  <c r="D1" i="31"/>
  <c r="L1" i="30"/>
  <c r="D1" i="30"/>
  <c r="L1" i="1"/>
  <c r="D1" i="1"/>
  <c r="R59" i="31" l="1"/>
  <c r="J57" i="31"/>
  <c r="X55" i="31"/>
  <c r="T39" i="31"/>
  <c r="R80" i="30"/>
  <c r="J70" i="30"/>
  <c r="W31" i="30"/>
  <c r="R68" i="31"/>
  <c r="J58" i="31"/>
  <c r="X59" i="31"/>
  <c r="T11" i="31"/>
  <c r="R49" i="30"/>
  <c r="J39" i="30"/>
  <c r="X15" i="30"/>
  <c r="R77" i="31"/>
  <c r="J67" i="31"/>
  <c r="W51" i="31"/>
  <c r="R10" i="30"/>
  <c r="R106" i="30"/>
  <c r="J96" i="30"/>
  <c r="R30" i="31"/>
  <c r="J20" i="31"/>
  <c r="Y15" i="31"/>
  <c r="V75" i="31"/>
  <c r="R11" i="30"/>
  <c r="J9" i="30"/>
  <c r="J105" i="30"/>
  <c r="V63" i="30"/>
  <c r="X67" i="1"/>
  <c r="J77" i="31"/>
  <c r="R7" i="30"/>
  <c r="J93" i="30"/>
  <c r="T3" i="30"/>
  <c r="W71" i="1"/>
  <c r="R87" i="1"/>
  <c r="J79" i="1"/>
  <c r="R8" i="31"/>
  <c r="J94" i="31"/>
  <c r="Q112" i="31"/>
  <c r="J66" i="30"/>
  <c r="U7" i="30"/>
  <c r="X75" i="1"/>
  <c r="T75" i="1"/>
  <c r="J93" i="1"/>
  <c r="R99" i="1"/>
  <c r="J79" i="31"/>
  <c r="T95" i="31"/>
  <c r="J83" i="30"/>
  <c r="U47" i="30"/>
  <c r="W91" i="1"/>
  <c r="R92" i="1"/>
  <c r="J89" i="1"/>
  <c r="R104" i="1"/>
  <c r="R74" i="31"/>
  <c r="X83" i="31"/>
  <c r="R46" i="30"/>
  <c r="Y79" i="30"/>
  <c r="T55" i="30"/>
  <c r="R91" i="1"/>
  <c r="J57" i="1"/>
  <c r="X47" i="1"/>
  <c r="R95" i="31"/>
  <c r="W59" i="31"/>
  <c r="R95" i="30"/>
  <c r="W39" i="30"/>
  <c r="I107" i="30"/>
  <c r="U55" i="1"/>
  <c r="R4" i="1"/>
  <c r="J42" i="30"/>
  <c r="V67" i="1"/>
  <c r="I107" i="1"/>
  <c r="R98" i="31"/>
  <c r="J90" i="30"/>
  <c r="R84" i="1"/>
  <c r="V51" i="1"/>
  <c r="W67" i="31"/>
  <c r="T31" i="30"/>
  <c r="J80" i="1"/>
  <c r="J45" i="1"/>
  <c r="R86" i="30"/>
  <c r="W63" i="1"/>
  <c r="J13" i="1"/>
  <c r="J24" i="31"/>
  <c r="X67" i="30"/>
  <c r="R77" i="1"/>
  <c r="R18" i="31"/>
  <c r="J51" i="1"/>
  <c r="W59" i="1"/>
  <c r="W7" i="31"/>
  <c r="X99" i="1"/>
  <c r="T35" i="1"/>
  <c r="R69" i="30"/>
  <c r="J6" i="31"/>
  <c r="J5" i="1"/>
  <c r="T35" i="30"/>
  <c r="W23" i="1"/>
  <c r="U31" i="30"/>
  <c r="R116" i="30"/>
  <c r="W11" i="31"/>
  <c r="R96" i="30"/>
  <c r="W95" i="30"/>
  <c r="J74" i="31"/>
  <c r="W15" i="31"/>
  <c r="R65" i="30"/>
  <c r="X79" i="30"/>
  <c r="J83" i="31"/>
  <c r="R26" i="30"/>
  <c r="I116" i="30"/>
  <c r="J36" i="31"/>
  <c r="U63" i="31"/>
  <c r="J25" i="30"/>
  <c r="U19" i="30"/>
  <c r="Y51" i="31"/>
  <c r="X7" i="30"/>
  <c r="V83" i="1"/>
  <c r="J70" i="1"/>
  <c r="Y55" i="31"/>
  <c r="U79" i="30"/>
  <c r="R93" i="1"/>
  <c r="R25" i="31"/>
  <c r="R29" i="30"/>
  <c r="T15" i="30"/>
  <c r="R56" i="1"/>
  <c r="J48" i="1"/>
  <c r="R67" i="31"/>
  <c r="J65" i="31"/>
  <c r="X87" i="31"/>
  <c r="T71" i="31"/>
  <c r="R88" i="30"/>
  <c r="J78" i="30"/>
  <c r="W63" i="30"/>
  <c r="R76" i="31"/>
  <c r="J66" i="31"/>
  <c r="X91" i="31"/>
  <c r="T43" i="31"/>
  <c r="R57" i="30"/>
  <c r="J47" i="30"/>
  <c r="X47" i="30"/>
  <c r="R85" i="31"/>
  <c r="J75" i="31"/>
  <c r="W83" i="31"/>
  <c r="R18" i="30"/>
  <c r="J8" i="30"/>
  <c r="J104" i="30"/>
  <c r="R38" i="31"/>
  <c r="J28" i="31"/>
  <c r="Y47" i="31"/>
  <c r="U31" i="31"/>
  <c r="R19" i="30"/>
  <c r="J17" i="30"/>
  <c r="Y3" i="30"/>
  <c r="V95" i="30"/>
  <c r="R7" i="31"/>
  <c r="J93" i="31"/>
  <c r="R23" i="30"/>
  <c r="Y51" i="30"/>
  <c r="T43" i="30"/>
  <c r="W3" i="1"/>
  <c r="R79" i="1"/>
  <c r="J62" i="1"/>
  <c r="R24" i="31"/>
  <c r="Q116" i="31"/>
  <c r="I109" i="31"/>
  <c r="J82" i="30"/>
  <c r="U43" i="30"/>
  <c r="X7" i="1"/>
  <c r="T7" i="1"/>
  <c r="J88" i="1"/>
  <c r="R9" i="31"/>
  <c r="J95" i="31"/>
  <c r="R13" i="30"/>
  <c r="J99" i="30"/>
  <c r="U87" i="30"/>
  <c r="W79" i="1"/>
  <c r="R89" i="1"/>
  <c r="J56" i="1"/>
  <c r="R50" i="1"/>
  <c r="R90" i="31"/>
  <c r="W39" i="31"/>
  <c r="R62" i="30"/>
  <c r="X35" i="30"/>
  <c r="T91" i="30"/>
  <c r="R90" i="1"/>
  <c r="J65" i="1"/>
  <c r="V43" i="1"/>
  <c r="J5" i="31"/>
  <c r="V15" i="31"/>
  <c r="J5" i="30"/>
  <c r="W83" i="30"/>
  <c r="Y83" i="1"/>
  <c r="U31" i="1"/>
  <c r="R16" i="31"/>
  <c r="J76" i="30"/>
  <c r="U63" i="1"/>
  <c r="R96" i="1"/>
  <c r="J39" i="31"/>
  <c r="Y47" i="30"/>
  <c r="R61" i="1"/>
  <c r="J106" i="1"/>
  <c r="U39" i="31"/>
  <c r="Q114" i="30"/>
  <c r="J69" i="1"/>
  <c r="U43" i="1"/>
  <c r="J27" i="30"/>
  <c r="V59" i="1"/>
  <c r="I111" i="1"/>
  <c r="J71" i="31"/>
  <c r="W91" i="30"/>
  <c r="R6" i="1"/>
  <c r="J22" i="31"/>
  <c r="Y99" i="1"/>
  <c r="U39" i="1"/>
  <c r="R22" i="30"/>
  <c r="X43" i="1"/>
  <c r="R32" i="1"/>
  <c r="J60" i="30"/>
  <c r="J103" i="31"/>
  <c r="R109" i="1"/>
  <c r="X23" i="1"/>
  <c r="J43" i="1"/>
  <c r="V95" i="1"/>
  <c r="R116" i="1"/>
  <c r="J73" i="31"/>
  <c r="T103" i="31"/>
  <c r="J86" i="30"/>
  <c r="R84" i="31"/>
  <c r="T75" i="31"/>
  <c r="J55" i="30"/>
  <c r="R93" i="31"/>
  <c r="V7" i="31"/>
  <c r="J16" i="30"/>
  <c r="R46" i="31"/>
  <c r="Y79" i="31"/>
  <c r="R27" i="30"/>
  <c r="Y35" i="30"/>
  <c r="R23" i="31"/>
  <c r="R39" i="30"/>
  <c r="T79" i="30"/>
  <c r="R62" i="1"/>
  <c r="R40" i="31"/>
  <c r="R12" i="30"/>
  <c r="J98" i="30"/>
  <c r="W87" i="1"/>
  <c r="J55" i="1"/>
  <c r="J116" i="31"/>
  <c r="Y11" i="30"/>
  <c r="W11" i="1"/>
  <c r="J64" i="1"/>
  <c r="R75" i="31"/>
  <c r="R83" i="31"/>
  <c r="J81" i="31"/>
  <c r="W43" i="31"/>
  <c r="R8" i="30"/>
  <c r="R104" i="30"/>
  <c r="J94" i="30"/>
  <c r="V19" i="30"/>
  <c r="R92" i="31"/>
  <c r="J82" i="31"/>
  <c r="W47" i="31"/>
  <c r="Q114" i="31"/>
  <c r="R73" i="30"/>
  <c r="J63" i="30"/>
  <c r="R5" i="31"/>
  <c r="R101" i="31"/>
  <c r="J91" i="31"/>
  <c r="V39" i="31"/>
  <c r="R34" i="30"/>
  <c r="J24" i="30"/>
  <c r="Y31" i="30"/>
  <c r="R54" i="31"/>
  <c r="J44" i="31"/>
  <c r="X3" i="31"/>
  <c r="U95" i="31"/>
  <c r="R35" i="30"/>
  <c r="J33" i="30"/>
  <c r="Y67" i="30"/>
  <c r="U51" i="30"/>
  <c r="R39" i="31"/>
  <c r="X7" i="31"/>
  <c r="R55" i="30"/>
  <c r="X71" i="30"/>
  <c r="I113" i="30"/>
  <c r="V71" i="1"/>
  <c r="R70" i="1"/>
  <c r="J78" i="1"/>
  <c r="R56" i="31"/>
  <c r="X11" i="31"/>
  <c r="R28" i="30"/>
  <c r="Y7" i="30"/>
  <c r="T11" i="30"/>
  <c r="W75" i="1"/>
  <c r="R88" i="1"/>
  <c r="J63" i="1"/>
  <c r="R41" i="31"/>
  <c r="Y59" i="31"/>
  <c r="R45" i="30"/>
  <c r="Y75" i="30"/>
  <c r="T51" i="30"/>
  <c r="V91" i="1"/>
  <c r="R64" i="1"/>
  <c r="J72" i="1"/>
  <c r="I109" i="1"/>
  <c r="J16" i="31"/>
  <c r="V59" i="31"/>
  <c r="R94" i="30"/>
  <c r="W35" i="30"/>
  <c r="Q107" i="30"/>
  <c r="R65" i="1"/>
  <c r="J41" i="1"/>
  <c r="T47" i="1"/>
  <c r="J37" i="31"/>
  <c r="U35" i="31"/>
  <c r="J37" i="30"/>
  <c r="V55" i="30"/>
  <c r="Y11" i="1"/>
  <c r="T55" i="1"/>
  <c r="R97" i="31"/>
  <c r="W3" i="30"/>
  <c r="R60" i="1"/>
  <c r="R49" i="1"/>
  <c r="Y31" i="31"/>
  <c r="V23" i="30"/>
  <c r="R12" i="1"/>
  <c r="J97" i="1"/>
  <c r="R37" i="30"/>
  <c r="Y91" i="1"/>
  <c r="J7" i="1"/>
  <c r="R82" i="31"/>
  <c r="I117" i="30"/>
  <c r="T23" i="1"/>
  <c r="R113" i="1"/>
  <c r="X51" i="31"/>
  <c r="U71" i="30"/>
  <c r="J85" i="1"/>
  <c r="T59" i="31"/>
  <c r="T95" i="1"/>
  <c r="R20" i="1"/>
  <c r="U27" i="30"/>
  <c r="R114" i="1"/>
  <c r="J31" i="1"/>
  <c r="Y23" i="1"/>
  <c r="J108" i="31"/>
  <c r="J98" i="1"/>
  <c r="R86" i="1"/>
  <c r="R36" i="30"/>
  <c r="T67" i="1"/>
  <c r="J109" i="30"/>
  <c r="J62" i="30"/>
  <c r="Y67" i="1"/>
  <c r="J63" i="31"/>
  <c r="T15" i="1"/>
  <c r="X103" i="30"/>
  <c r="J15" i="1"/>
  <c r="U35" i="30"/>
  <c r="R96" i="31"/>
  <c r="V67" i="30"/>
  <c r="R91" i="31"/>
  <c r="J89" i="31"/>
  <c r="W75" i="31"/>
  <c r="R16" i="30"/>
  <c r="J6" i="30"/>
  <c r="J102" i="30"/>
  <c r="R4" i="31"/>
  <c r="R100" i="31"/>
  <c r="J90" i="31"/>
  <c r="W79" i="31"/>
  <c r="I111" i="31"/>
  <c r="R81" i="30"/>
  <c r="J71" i="30"/>
  <c r="R13" i="31"/>
  <c r="J3" i="31"/>
  <c r="J99" i="31"/>
  <c r="V71" i="31"/>
  <c r="R42" i="30"/>
  <c r="J32" i="30"/>
  <c r="Y63" i="30"/>
  <c r="R62" i="31"/>
  <c r="J52" i="31"/>
  <c r="X35" i="31"/>
  <c r="T19" i="31"/>
  <c r="R43" i="30"/>
  <c r="J41" i="30"/>
  <c r="Y99" i="30"/>
  <c r="U83" i="30"/>
  <c r="R55" i="31"/>
  <c r="X71" i="31"/>
  <c r="R71" i="30"/>
  <c r="W19" i="30"/>
  <c r="Q111" i="30"/>
  <c r="V3" i="1"/>
  <c r="R78" i="1"/>
  <c r="J33" i="1"/>
  <c r="R72" i="31"/>
  <c r="X75" i="31"/>
  <c r="R44" i="30"/>
  <c r="Y71" i="30"/>
  <c r="T47" i="30"/>
  <c r="W7" i="1"/>
  <c r="R55" i="1"/>
  <c r="J71" i="1"/>
  <c r="R57" i="31"/>
  <c r="X15" i="31"/>
  <c r="R61" i="30"/>
  <c r="X31" i="30"/>
  <c r="T87" i="30"/>
  <c r="V79" i="1"/>
  <c r="R72" i="1"/>
  <c r="J42" i="1"/>
  <c r="J99" i="1"/>
  <c r="J32" i="31"/>
  <c r="U15" i="31"/>
  <c r="J4" i="30"/>
  <c r="W79" i="30"/>
  <c r="Y71" i="1"/>
  <c r="R73" i="1"/>
  <c r="J36" i="1"/>
  <c r="Y43" i="1"/>
  <c r="J53" i="31"/>
  <c r="U99" i="31"/>
  <c r="J53" i="30"/>
  <c r="V91" i="30"/>
  <c r="X31" i="1"/>
  <c r="T31" i="1"/>
  <c r="J38" i="31"/>
  <c r="W99" i="30"/>
  <c r="R39" i="1"/>
  <c r="W99" i="1"/>
  <c r="W3" i="31"/>
  <c r="U103" i="30"/>
  <c r="Q112" i="1"/>
  <c r="J102" i="1"/>
  <c r="R84" i="30"/>
  <c r="X55" i="1"/>
  <c r="J23" i="1"/>
  <c r="J23" i="31"/>
  <c r="X63" i="30"/>
  <c r="R80" i="1"/>
  <c r="Y51" i="1"/>
  <c r="V23" i="31"/>
  <c r="T67" i="30"/>
  <c r="J60" i="1"/>
  <c r="J10" i="30"/>
  <c r="R32" i="31"/>
  <c r="J68" i="1"/>
  <c r="J114" i="30"/>
  <c r="R66" i="31"/>
  <c r="R102" i="1"/>
  <c r="V39" i="1"/>
  <c r="R70" i="30"/>
  <c r="V99" i="1"/>
  <c r="R13" i="1"/>
  <c r="Q108" i="1"/>
  <c r="R116" i="31"/>
  <c r="J110" i="30"/>
  <c r="Y87" i="31"/>
  <c r="J39" i="1"/>
  <c r="J108" i="1"/>
  <c r="J49" i="31"/>
  <c r="Y91" i="30"/>
  <c r="J12" i="31"/>
  <c r="R99" i="30"/>
  <c r="W83" i="1"/>
  <c r="T91" i="31"/>
  <c r="Q114" i="1"/>
  <c r="X11" i="1"/>
  <c r="R30" i="30"/>
  <c r="R79" i="31"/>
  <c r="R37" i="1"/>
  <c r="T63" i="1"/>
  <c r="U47" i="1"/>
  <c r="R59" i="1"/>
  <c r="Y19" i="1"/>
  <c r="R3" i="31"/>
  <c r="R99" i="31"/>
  <c r="J97" i="31"/>
  <c r="V31" i="31"/>
  <c r="R24" i="30"/>
  <c r="J14" i="30"/>
  <c r="Q116" i="30"/>
  <c r="R12" i="31"/>
  <c r="Q117" i="31"/>
  <c r="J98" i="31"/>
  <c r="V3" i="31"/>
  <c r="Q110" i="31"/>
  <c r="R89" i="30"/>
  <c r="J79" i="30"/>
  <c r="R21" i="31"/>
  <c r="J11" i="31"/>
  <c r="Y11" i="31"/>
  <c r="V103" i="31"/>
  <c r="R50" i="30"/>
  <c r="J40" i="30"/>
  <c r="Y95" i="30"/>
  <c r="R70" i="31"/>
  <c r="J60" i="31"/>
  <c r="X67" i="31"/>
  <c r="T51" i="31"/>
  <c r="R51" i="30"/>
  <c r="J49" i="30"/>
  <c r="X23" i="30"/>
  <c r="T7" i="30"/>
  <c r="R71" i="31"/>
  <c r="W27" i="31"/>
  <c r="R87" i="30"/>
  <c r="W59" i="30"/>
  <c r="Q110" i="30"/>
  <c r="U83" i="1"/>
  <c r="R33" i="1"/>
  <c r="J29" i="1"/>
  <c r="R88" i="31"/>
  <c r="W31" i="31"/>
  <c r="R60" i="30"/>
  <c r="X27" i="30"/>
  <c r="T83" i="30"/>
  <c r="V87" i="1"/>
  <c r="R63" i="1"/>
  <c r="J34" i="1"/>
  <c r="R73" i="31"/>
  <c r="X79" i="31"/>
  <c r="R77" i="30"/>
  <c r="X95" i="30"/>
  <c r="I110" i="30"/>
  <c r="V11" i="1"/>
  <c r="R42" i="1"/>
  <c r="J35" i="1"/>
  <c r="V47" i="1"/>
  <c r="J48" i="31"/>
  <c r="U79" i="31"/>
  <c r="J20" i="30"/>
  <c r="V11" i="30"/>
  <c r="Y7" i="1"/>
  <c r="R41" i="1"/>
  <c r="J3" i="1"/>
  <c r="J100" i="1"/>
  <c r="J69" i="31"/>
  <c r="T55" i="31"/>
  <c r="J69" i="30"/>
  <c r="U23" i="30"/>
  <c r="X19" i="1"/>
  <c r="T19" i="1"/>
  <c r="J72" i="31"/>
  <c r="V103" i="30"/>
  <c r="R7" i="1"/>
  <c r="J101" i="1"/>
  <c r="V83" i="31"/>
  <c r="T99" i="30"/>
  <c r="J66" i="1"/>
  <c r="V103" i="1"/>
  <c r="J12" i="30"/>
  <c r="W27" i="1"/>
  <c r="Q110" i="1"/>
  <c r="J70" i="31"/>
  <c r="W87" i="30"/>
  <c r="R76" i="1"/>
  <c r="J95" i="1"/>
  <c r="U103" i="31"/>
  <c r="R113" i="30"/>
  <c r="J76" i="1"/>
  <c r="V35" i="30"/>
  <c r="J40" i="31"/>
  <c r="J21" i="1"/>
  <c r="Y87" i="1"/>
  <c r="J87" i="31"/>
  <c r="I114" i="1"/>
  <c r="R38" i="1"/>
  <c r="J91" i="30"/>
  <c r="J7" i="31"/>
  <c r="J58" i="1"/>
  <c r="J44" i="30"/>
  <c r="R113" i="31"/>
  <c r="J116" i="1"/>
  <c r="J82" i="1"/>
  <c r="J6" i="1"/>
  <c r="R51" i="31"/>
  <c r="J59" i="31"/>
  <c r="I117" i="31"/>
  <c r="V31" i="30"/>
  <c r="J87" i="1"/>
  <c r="V79" i="30"/>
  <c r="J67" i="30"/>
  <c r="R58" i="31"/>
  <c r="J90" i="1"/>
  <c r="I108" i="30"/>
  <c r="J53" i="1"/>
  <c r="J38" i="1"/>
  <c r="J54" i="31"/>
  <c r="R11" i="31"/>
  <c r="J9" i="31"/>
  <c r="J105" i="31"/>
  <c r="V63" i="31"/>
  <c r="R32" i="30"/>
  <c r="J22" i="30"/>
  <c r="Y23" i="30"/>
  <c r="R20" i="31"/>
  <c r="J10" i="31"/>
  <c r="J106" i="31"/>
  <c r="V35" i="31"/>
  <c r="I107" i="31"/>
  <c r="R97" i="30"/>
  <c r="J87" i="30"/>
  <c r="R29" i="31"/>
  <c r="J19" i="31"/>
  <c r="Y43" i="31"/>
  <c r="U27" i="31"/>
  <c r="R58" i="30"/>
  <c r="J48" i="30"/>
  <c r="X19" i="30"/>
  <c r="R78" i="31"/>
  <c r="J68" i="31"/>
  <c r="X99" i="31"/>
  <c r="T83" i="31"/>
  <c r="R59" i="30"/>
  <c r="J57" i="30"/>
  <c r="X55" i="30"/>
  <c r="T39" i="30"/>
  <c r="R87" i="31"/>
  <c r="W91" i="31"/>
  <c r="R103" i="30"/>
  <c r="W103" i="30"/>
  <c r="Y55" i="1"/>
  <c r="U71" i="1"/>
  <c r="R29" i="1"/>
  <c r="J8" i="1"/>
  <c r="R104" i="31"/>
  <c r="W95" i="31"/>
  <c r="R76" i="30"/>
  <c r="X91" i="30"/>
  <c r="I112" i="30"/>
  <c r="V75" i="1"/>
  <c r="R71" i="1"/>
  <c r="J28" i="1"/>
  <c r="R89" i="31"/>
  <c r="W35" i="31"/>
  <c r="R93" i="30"/>
  <c r="W27" i="30"/>
  <c r="Q108" i="30"/>
  <c r="U91" i="1"/>
  <c r="R35" i="1"/>
  <c r="J27" i="1"/>
  <c r="W43" i="1"/>
  <c r="J64" i="31"/>
  <c r="T35" i="31"/>
  <c r="J36" i="30"/>
  <c r="V51" i="30"/>
  <c r="X91" i="1"/>
  <c r="R36" i="1"/>
  <c r="J11" i="1"/>
  <c r="J104" i="1"/>
  <c r="J85" i="31"/>
  <c r="J113" i="31"/>
  <c r="J85" i="30"/>
  <c r="U59" i="30"/>
  <c r="W55" i="1"/>
  <c r="R83" i="1"/>
  <c r="Y27" i="31"/>
  <c r="U99" i="30"/>
  <c r="R23" i="1"/>
  <c r="W95" i="1"/>
  <c r="T3" i="31"/>
  <c r="J113" i="30"/>
  <c r="J40" i="1"/>
  <c r="R33" i="31"/>
  <c r="J59" i="30"/>
  <c r="V23" i="1"/>
  <c r="R52" i="1"/>
  <c r="J104" i="31"/>
  <c r="V71" i="30"/>
  <c r="R5" i="1"/>
  <c r="I113" i="1"/>
  <c r="R6" i="30"/>
  <c r="X35" i="1"/>
  <c r="J14" i="1"/>
  <c r="X27" i="1"/>
  <c r="X43" i="31"/>
  <c r="J49" i="1"/>
  <c r="U23" i="1"/>
  <c r="W71" i="31"/>
  <c r="U95" i="1"/>
  <c r="W55" i="30"/>
  <c r="R114" i="31"/>
  <c r="X23" i="31"/>
  <c r="R19" i="31"/>
  <c r="J17" i="31"/>
  <c r="Y3" i="31"/>
  <c r="V95" i="31"/>
  <c r="R40" i="30"/>
  <c r="J30" i="30"/>
  <c r="Y55" i="30"/>
  <c r="R28" i="31"/>
  <c r="J18" i="31"/>
  <c r="Y7" i="31"/>
  <c r="V67" i="31"/>
  <c r="R9" i="30"/>
  <c r="R105" i="30"/>
  <c r="J95" i="30"/>
  <c r="R37" i="31"/>
  <c r="J27" i="31"/>
  <c r="Y75" i="31"/>
  <c r="U59" i="31"/>
  <c r="R66" i="30"/>
  <c r="J56" i="30"/>
  <c r="X51" i="30"/>
  <c r="R86" i="31"/>
  <c r="J76" i="31"/>
  <c r="W23" i="31"/>
  <c r="I114" i="31"/>
  <c r="R67" i="30"/>
  <c r="J65" i="30"/>
  <c r="X87" i="30"/>
  <c r="T71" i="30"/>
  <c r="R103" i="31"/>
  <c r="V47" i="31"/>
  <c r="J13" i="30"/>
  <c r="V39" i="30"/>
  <c r="Y35" i="1"/>
  <c r="U3" i="1"/>
  <c r="R8" i="1"/>
  <c r="J16" i="1"/>
  <c r="J14" i="31"/>
  <c r="V51" i="31"/>
  <c r="R92" i="30"/>
  <c r="W23" i="30"/>
  <c r="I111" i="30"/>
  <c r="V7" i="1"/>
  <c r="R34" i="1"/>
  <c r="J9" i="1"/>
  <c r="R105" i="31"/>
  <c r="W99" i="31"/>
  <c r="J3" i="30"/>
  <c r="W71" i="30"/>
  <c r="Y63" i="1"/>
  <c r="U79" i="1"/>
  <c r="R27" i="1"/>
  <c r="J10" i="1"/>
  <c r="J46" i="1"/>
  <c r="J80" i="31"/>
  <c r="T99" i="31"/>
  <c r="J52" i="30"/>
  <c r="V87" i="30"/>
  <c r="X15" i="1"/>
  <c r="R3" i="1"/>
  <c r="J19" i="1"/>
  <c r="R15" i="31"/>
  <c r="J101" i="31"/>
  <c r="R15" i="30"/>
  <c r="J101" i="30"/>
  <c r="U95" i="30"/>
  <c r="W31" i="1"/>
  <c r="R58" i="1"/>
  <c r="V27" i="31"/>
  <c r="T75" i="30"/>
  <c r="J86" i="1"/>
  <c r="J105" i="1"/>
  <c r="Q108" i="31"/>
  <c r="Y15" i="1"/>
  <c r="J4" i="1"/>
  <c r="R80" i="31"/>
  <c r="J106" i="30"/>
  <c r="T39" i="1"/>
  <c r="W47" i="1"/>
  <c r="X47" i="31"/>
  <c r="U67" i="30"/>
  <c r="R21" i="1"/>
  <c r="J47" i="1"/>
  <c r="R53" i="30"/>
  <c r="W67" i="1"/>
  <c r="I108" i="1"/>
  <c r="U35" i="1"/>
  <c r="T63" i="31"/>
  <c r="T51" i="1"/>
  <c r="R68" i="1"/>
  <c r="R38" i="30"/>
  <c r="J44" i="1"/>
  <c r="J37" i="1"/>
  <c r="T27" i="30"/>
  <c r="U43" i="31"/>
  <c r="R53" i="1"/>
  <c r="Q109" i="1"/>
  <c r="J109" i="1"/>
  <c r="J113" i="1"/>
  <c r="U75" i="30"/>
  <c r="R27" i="31"/>
  <c r="J25" i="31"/>
  <c r="Y35" i="31"/>
  <c r="U19" i="31"/>
  <c r="R48" i="30"/>
  <c r="J38" i="30"/>
  <c r="Y87" i="30"/>
  <c r="R36" i="31"/>
  <c r="J26" i="31"/>
  <c r="Y39" i="31"/>
  <c r="V99" i="31"/>
  <c r="R17" i="30"/>
  <c r="J7" i="30"/>
  <c r="J103" i="30"/>
  <c r="R45" i="31"/>
  <c r="J35" i="31"/>
  <c r="X31" i="31"/>
  <c r="U91" i="31"/>
  <c r="R74" i="30"/>
  <c r="J64" i="30"/>
  <c r="X83" i="30"/>
  <c r="R94" i="31"/>
  <c r="J84" i="31"/>
  <c r="W55" i="31"/>
  <c r="Q113" i="31"/>
  <c r="R75" i="30"/>
  <c r="J73" i="30"/>
  <c r="W11" i="30"/>
  <c r="T103" i="30"/>
  <c r="J13" i="31"/>
  <c r="U3" i="31"/>
  <c r="J29" i="30"/>
  <c r="V75" i="30"/>
  <c r="Y27" i="1"/>
  <c r="T83" i="1"/>
  <c r="R16" i="1"/>
  <c r="J24" i="1"/>
  <c r="J30" i="31"/>
  <c r="U7" i="31"/>
  <c r="Q117" i="30"/>
  <c r="W67" i="30"/>
  <c r="Q109" i="30"/>
  <c r="U87" i="1"/>
  <c r="R28" i="1"/>
  <c r="J17" i="1"/>
  <c r="J15" i="31"/>
  <c r="V55" i="31"/>
  <c r="J19" i="30"/>
  <c r="V7" i="30"/>
  <c r="Y3" i="1"/>
  <c r="U11" i="1"/>
  <c r="R10" i="1"/>
  <c r="J18" i="1"/>
  <c r="R10" i="31"/>
  <c r="J96" i="31"/>
  <c r="I112" i="31"/>
  <c r="J68" i="30"/>
  <c r="U15" i="30"/>
  <c r="W15" i="1"/>
  <c r="R11" i="1"/>
  <c r="R95" i="1"/>
  <c r="R31" i="31"/>
  <c r="Y19" i="31"/>
  <c r="R31" i="30"/>
  <c r="Y19" i="30"/>
  <c r="T23" i="30"/>
  <c r="W19" i="1"/>
  <c r="R66" i="1"/>
  <c r="I113" i="31"/>
  <c r="Q113" i="30"/>
  <c r="J61" i="1"/>
  <c r="I117" i="1"/>
  <c r="R21" i="30"/>
  <c r="W39" i="1"/>
  <c r="J20" i="1"/>
  <c r="J8" i="31"/>
  <c r="X3" i="30"/>
  <c r="R82" i="1"/>
  <c r="I110" i="1"/>
  <c r="V19" i="31"/>
  <c r="T63" i="30"/>
  <c r="J84" i="1"/>
  <c r="Y47" i="1"/>
  <c r="R100" i="30"/>
  <c r="V63" i="1"/>
  <c r="Q117" i="1"/>
  <c r="R81" i="1"/>
  <c r="R4" i="30"/>
  <c r="X51" i="1"/>
  <c r="Q111" i="1"/>
  <c r="J58" i="30"/>
  <c r="R81" i="31"/>
  <c r="R103" i="1"/>
  <c r="X59" i="1"/>
  <c r="I108" i="31"/>
  <c r="U51" i="1"/>
  <c r="X59" i="30"/>
  <c r="J110" i="1"/>
  <c r="J56" i="31"/>
  <c r="J88" i="30"/>
  <c r="J77" i="30"/>
  <c r="X83" i="1"/>
  <c r="T11" i="1"/>
  <c r="T19" i="30"/>
  <c r="R79" i="30"/>
  <c r="R64" i="31"/>
  <c r="R52" i="30"/>
  <c r="X103" i="1"/>
  <c r="R35" i="31"/>
  <c r="J33" i="31"/>
  <c r="Y67" i="31"/>
  <c r="U51" i="31"/>
  <c r="R56" i="30"/>
  <c r="J46" i="30"/>
  <c r="X11" i="30"/>
  <c r="R44" i="31"/>
  <c r="J34" i="31"/>
  <c r="Y71" i="31"/>
  <c r="U23" i="31"/>
  <c r="R25" i="30"/>
  <c r="J15" i="30"/>
  <c r="Y27" i="30"/>
  <c r="R53" i="31"/>
  <c r="J43" i="31"/>
  <c r="X63" i="31"/>
  <c r="T15" i="31"/>
  <c r="R82" i="30"/>
  <c r="J72" i="30"/>
  <c r="R6" i="31"/>
  <c r="R102" i="31"/>
  <c r="J92" i="31"/>
  <c r="W87" i="31"/>
  <c r="I110" i="31"/>
  <c r="R83" i="30"/>
  <c r="J81" i="30"/>
  <c r="W43" i="30"/>
  <c r="R114" i="30"/>
  <c r="J29" i="31"/>
  <c r="U67" i="31"/>
  <c r="J45" i="30"/>
  <c r="U3" i="30"/>
  <c r="X71" i="1"/>
  <c r="T71" i="1"/>
  <c r="R24" i="1"/>
  <c r="R46" i="1"/>
  <c r="J46" i="31"/>
  <c r="U71" i="31"/>
  <c r="J18" i="30"/>
  <c r="V3" i="30"/>
  <c r="Y59" i="1"/>
  <c r="U75" i="1"/>
  <c r="R9" i="1"/>
  <c r="J25" i="1"/>
  <c r="J31" i="31"/>
  <c r="U11" i="31"/>
  <c r="J35" i="30"/>
  <c r="V47" i="30"/>
  <c r="X87" i="1"/>
  <c r="T91" i="1"/>
  <c r="R18" i="1"/>
  <c r="J26" i="1"/>
  <c r="R26" i="31"/>
  <c r="I116" i="31"/>
  <c r="Q107" i="31"/>
  <c r="J84" i="30"/>
  <c r="U55" i="30"/>
  <c r="V15" i="1"/>
  <c r="R19" i="1"/>
  <c r="R106" i="1"/>
  <c r="R47" i="31"/>
  <c r="Y83" i="31"/>
  <c r="R47" i="30"/>
  <c r="Y83" i="30"/>
  <c r="T59" i="30"/>
  <c r="V55" i="1"/>
  <c r="R74" i="1"/>
  <c r="R20" i="30"/>
  <c r="Y31" i="1"/>
  <c r="J77" i="1"/>
  <c r="W51" i="1"/>
  <c r="R68" i="30"/>
  <c r="V35" i="1"/>
  <c r="R54" i="1"/>
  <c r="J55" i="31"/>
  <c r="W51" i="30"/>
  <c r="R69" i="1"/>
  <c r="W103" i="1"/>
  <c r="U47" i="31"/>
  <c r="I114" i="30"/>
  <c r="J59" i="1"/>
  <c r="U99" i="1"/>
  <c r="J28" i="30"/>
  <c r="U59" i="1"/>
  <c r="R101" i="1"/>
  <c r="R14" i="1"/>
  <c r="J11" i="30"/>
  <c r="T43" i="1"/>
  <c r="J74" i="1"/>
  <c r="W15" i="30"/>
  <c r="J88" i="31"/>
  <c r="J54" i="1"/>
  <c r="R85" i="1"/>
  <c r="R85" i="30"/>
  <c r="I112" i="1"/>
  <c r="R98" i="30"/>
  <c r="J61" i="31"/>
  <c r="R44" i="1"/>
  <c r="T87" i="1"/>
  <c r="U11" i="30"/>
  <c r="X19" i="31"/>
  <c r="R97" i="1"/>
  <c r="V19" i="1"/>
  <c r="J43" i="30"/>
  <c r="Q107" i="1"/>
  <c r="Y39" i="30"/>
  <c r="Q116" i="1"/>
  <c r="R43" i="31"/>
  <c r="J41" i="31"/>
  <c r="Y99" i="31"/>
  <c r="U83" i="31"/>
  <c r="R64" i="30"/>
  <c r="J54" i="30"/>
  <c r="X43" i="30"/>
  <c r="R52" i="31"/>
  <c r="J42" i="31"/>
  <c r="Y103" i="31"/>
  <c r="U55" i="31"/>
  <c r="R33" i="30"/>
  <c r="J23" i="30"/>
  <c r="Y59" i="30"/>
  <c r="R61" i="31"/>
  <c r="J51" i="31"/>
  <c r="X95" i="31"/>
  <c r="T47" i="31"/>
  <c r="R90" i="30"/>
  <c r="J80" i="30"/>
  <c r="R14" i="31"/>
  <c r="J4" i="31"/>
  <c r="J100" i="31"/>
  <c r="V11" i="31"/>
  <c r="Q109" i="31"/>
  <c r="R91" i="30"/>
  <c r="J89" i="30"/>
  <c r="W75" i="30"/>
  <c r="J111" i="30"/>
  <c r="J45" i="31"/>
  <c r="T23" i="31"/>
  <c r="J61" i="30"/>
  <c r="U39" i="30"/>
  <c r="X3" i="1"/>
  <c r="T3" i="1"/>
  <c r="J94" i="1"/>
  <c r="Q113" i="1"/>
  <c r="J62" i="31"/>
  <c r="T27" i="31"/>
  <c r="J34" i="30"/>
  <c r="V43" i="30"/>
  <c r="Y39" i="1"/>
  <c r="U7" i="1"/>
  <c r="R17" i="1"/>
  <c r="R47" i="1"/>
  <c r="J47" i="31"/>
  <c r="U75" i="31"/>
  <c r="J51" i="30"/>
  <c r="V83" i="30"/>
  <c r="X79" i="1"/>
  <c r="T79" i="1"/>
  <c r="R26" i="1"/>
  <c r="R100" i="1"/>
  <c r="R42" i="31"/>
  <c r="Y63" i="31"/>
  <c r="R14" i="30"/>
  <c r="J100" i="30"/>
  <c r="U91" i="30"/>
  <c r="U15" i="1"/>
  <c r="J91" i="1"/>
  <c r="R43" i="1"/>
  <c r="R63" i="31"/>
  <c r="X39" i="31"/>
  <c r="R63" i="30"/>
  <c r="X39" i="30"/>
  <c r="T95" i="30"/>
  <c r="V31" i="1"/>
  <c r="R40" i="1"/>
  <c r="R54" i="30"/>
  <c r="X39" i="1"/>
  <c r="J30" i="1"/>
  <c r="R17" i="31"/>
  <c r="R102" i="30"/>
  <c r="U67" i="1"/>
  <c r="R48" i="1"/>
  <c r="J102" i="31"/>
  <c r="V59" i="30"/>
  <c r="R15" i="1"/>
  <c r="I116" i="1"/>
  <c r="R5" i="30"/>
  <c r="Y79" i="1"/>
  <c r="J75" i="1"/>
  <c r="R49" i="31"/>
  <c r="J75" i="30"/>
  <c r="T27" i="1"/>
  <c r="R51" i="1"/>
  <c r="J67" i="1"/>
  <c r="Y103" i="30"/>
  <c r="R34" i="31"/>
  <c r="J22" i="1"/>
  <c r="U63" i="30"/>
  <c r="V87" i="31"/>
  <c r="J52" i="1"/>
  <c r="R30" i="1"/>
  <c r="J92" i="30"/>
  <c r="T99" i="1"/>
  <c r="Y95" i="1"/>
  <c r="J114" i="1"/>
  <c r="T7" i="31"/>
  <c r="R72" i="30"/>
  <c r="X75" i="30"/>
  <c r="R60" i="31"/>
  <c r="J50" i="31"/>
  <c r="X27" i="31"/>
  <c r="U87" i="31"/>
  <c r="R41" i="30"/>
  <c r="J31" i="30"/>
  <c r="R69" i="31"/>
  <c r="W19" i="31"/>
  <c r="T79" i="31"/>
  <c r="R22" i="31"/>
  <c r="V43" i="31"/>
  <c r="R3" i="30"/>
  <c r="J97" i="30"/>
  <c r="T87" i="31"/>
  <c r="R94" i="1"/>
  <c r="J78" i="31"/>
  <c r="J50" i="30"/>
  <c r="R25" i="1"/>
  <c r="T31" i="31"/>
  <c r="J92" i="1"/>
  <c r="Y15" i="30"/>
  <c r="X103" i="31"/>
  <c r="R101" i="30"/>
  <c r="Y95" i="31"/>
  <c r="X63" i="1"/>
  <c r="J12" i="1"/>
  <c r="R105" i="1"/>
  <c r="V15" i="30"/>
  <c r="T67" i="31"/>
  <c r="R67" i="1"/>
  <c r="W63" i="31"/>
  <c r="T59" i="1"/>
  <c r="V91" i="31"/>
  <c r="R31" i="1"/>
  <c r="R106" i="31"/>
  <c r="Y75" i="1"/>
  <c r="Q112" i="30"/>
  <c r="J26" i="30"/>
  <c r="R75" i="1"/>
  <c r="R45" i="1"/>
  <c r="J96" i="1"/>
  <c r="V99" i="30"/>
  <c r="V79" i="31"/>
  <c r="W103" i="31"/>
  <c r="U19" i="1"/>
  <c r="J32" i="1"/>
  <c r="T103" i="1"/>
  <c r="R65" i="31"/>
  <c r="W47" i="30"/>
  <c r="J73" i="1"/>
  <c r="Y91" i="31"/>
  <c r="R78" i="30"/>
  <c r="R50" i="31"/>
  <c r="R48" i="31"/>
  <c r="J83" i="1"/>
  <c r="Y103" i="1"/>
  <c r="R112" i="1"/>
  <c r="R98" i="1"/>
  <c r="J21" i="31"/>
  <c r="J21" i="30"/>
  <c r="X99" i="30"/>
  <c r="Y43" i="30"/>
  <c r="J74" i="30"/>
  <c r="Q111" i="31"/>
  <c r="R112" i="30"/>
  <c r="U27" i="1"/>
  <c r="Y23" i="31"/>
  <c r="W7" i="30"/>
  <c r="U103" i="1"/>
  <c r="I109" i="30"/>
  <c r="W35" i="1"/>
  <c r="J81" i="1"/>
  <c r="V27" i="30"/>
  <c r="R57" i="1"/>
  <c r="V27" i="1"/>
  <c r="J50" i="1"/>
  <c r="J86" i="31"/>
  <c r="J103" i="1"/>
  <c r="X95" i="1"/>
  <c r="R22" i="1"/>
  <c r="X113" i="1" l="1"/>
  <c r="C126" i="31"/>
  <c r="Y109" i="30"/>
  <c r="X114" i="30"/>
  <c r="W110" i="30"/>
  <c r="V114" i="30"/>
  <c r="E24" i="16" s="1"/>
  <c r="C127" i="30"/>
  <c r="Y113" i="31"/>
  <c r="T108" i="31"/>
  <c r="C31" i="16" s="1"/>
  <c r="R117" i="30"/>
  <c r="V109" i="31"/>
  <c r="E32" i="16" s="1"/>
  <c r="Y113" i="1"/>
  <c r="T114" i="1"/>
  <c r="C11" i="16" s="1"/>
  <c r="V108" i="1"/>
  <c r="E5" i="16" s="1"/>
  <c r="T113" i="30"/>
  <c r="C23" i="16" s="1"/>
  <c r="V112" i="30"/>
  <c r="E22" i="16" s="1"/>
  <c r="V109" i="30"/>
  <c r="E19" i="16" s="1"/>
  <c r="C128" i="1"/>
  <c r="T115" i="1"/>
  <c r="T107" i="1"/>
  <c r="C4" i="16" s="1"/>
  <c r="X115" i="1"/>
  <c r="X107" i="1"/>
  <c r="C124" i="31"/>
  <c r="T110" i="31"/>
  <c r="C33" i="16" s="1"/>
  <c r="X113" i="31"/>
  <c r="U111" i="31"/>
  <c r="D34" i="16" s="1"/>
  <c r="X109" i="30"/>
  <c r="U112" i="31"/>
  <c r="D35" i="16" s="1"/>
  <c r="Y114" i="31"/>
  <c r="C130" i="1"/>
  <c r="C13" i="16" s="1"/>
  <c r="C122" i="1"/>
  <c r="T109" i="1"/>
  <c r="C6" i="16" s="1"/>
  <c r="U114" i="1"/>
  <c r="D11" i="16" s="1"/>
  <c r="U110" i="31"/>
  <c r="D33" i="16" s="1"/>
  <c r="Y108" i="1"/>
  <c r="V111" i="1"/>
  <c r="E8" i="16" s="1"/>
  <c r="Y112" i="30"/>
  <c r="Y112" i="31"/>
  <c r="U111" i="30"/>
  <c r="D21" i="16" s="1"/>
  <c r="C122" i="31"/>
  <c r="V110" i="30"/>
  <c r="E20" i="16" s="1"/>
  <c r="V115" i="30"/>
  <c r="V107" i="30"/>
  <c r="E17" i="16" s="1"/>
  <c r="U107" i="30"/>
  <c r="D17" i="16" s="1"/>
  <c r="U115" i="30"/>
  <c r="D129" i="30"/>
  <c r="W109" i="30"/>
  <c r="X112" i="1"/>
  <c r="C126" i="1"/>
  <c r="Y110" i="1"/>
  <c r="X115" i="30"/>
  <c r="X107" i="30"/>
  <c r="C128" i="30"/>
  <c r="Y107" i="1"/>
  <c r="Y115" i="1"/>
  <c r="V111" i="31"/>
  <c r="E34" i="16" s="1"/>
  <c r="C124" i="30"/>
  <c r="T112" i="1"/>
  <c r="C9" i="16" s="1"/>
  <c r="U115" i="31"/>
  <c r="U107" i="31"/>
  <c r="D30" i="16" s="1"/>
  <c r="C128" i="31"/>
  <c r="W111" i="31"/>
  <c r="X112" i="30"/>
  <c r="X108" i="31"/>
  <c r="V114" i="31"/>
  <c r="E37" i="16" s="1"/>
  <c r="C124" i="1"/>
  <c r="U109" i="31"/>
  <c r="D32" i="16" s="1"/>
  <c r="X110" i="31"/>
  <c r="W110" i="1"/>
  <c r="C123" i="31"/>
  <c r="W108" i="1"/>
  <c r="U113" i="30"/>
  <c r="D23" i="16" s="1"/>
  <c r="R117" i="1"/>
  <c r="T114" i="31"/>
  <c r="C37" i="16" s="1"/>
  <c r="J117" i="30"/>
  <c r="W114" i="31"/>
  <c r="U115" i="1"/>
  <c r="U107" i="1"/>
  <c r="D4" i="16" s="1"/>
  <c r="V110" i="31"/>
  <c r="E33" i="16" s="1"/>
  <c r="Y111" i="30"/>
  <c r="V113" i="31"/>
  <c r="E36" i="16" s="1"/>
  <c r="Y107" i="31"/>
  <c r="Y115" i="31"/>
  <c r="W111" i="30"/>
  <c r="U113" i="1"/>
  <c r="D10" i="16" s="1"/>
  <c r="X109" i="31"/>
  <c r="T115" i="31"/>
  <c r="T107" i="31"/>
  <c r="C30" i="16" s="1"/>
  <c r="W113" i="1"/>
  <c r="U114" i="30"/>
  <c r="D24" i="16" s="1"/>
  <c r="W111" i="1"/>
  <c r="W109" i="1"/>
  <c r="C123" i="30"/>
  <c r="W113" i="31"/>
  <c r="Y111" i="1"/>
  <c r="X111" i="30"/>
  <c r="T112" i="31"/>
  <c r="C35" i="16" s="1"/>
  <c r="X114" i="31"/>
  <c r="Y109" i="31"/>
  <c r="V108" i="30"/>
  <c r="E18" i="16" s="1"/>
  <c r="D128" i="31"/>
  <c r="D128" i="30"/>
  <c r="C125" i="1"/>
  <c r="T114" i="30"/>
  <c r="C24" i="16" s="1"/>
  <c r="V112" i="31"/>
  <c r="E35" i="16" s="1"/>
  <c r="T111" i="31"/>
  <c r="C34" i="16" s="1"/>
  <c r="J117" i="1"/>
  <c r="V110" i="1"/>
  <c r="E7" i="16" s="1"/>
  <c r="X113" i="30"/>
  <c r="T112" i="30"/>
  <c r="C22" i="16" s="1"/>
  <c r="W108" i="31"/>
  <c r="U112" i="1"/>
  <c r="D9" i="16" s="1"/>
  <c r="C125" i="30"/>
  <c r="Y113" i="30"/>
  <c r="C125" i="31"/>
  <c r="V115" i="31"/>
  <c r="V107" i="31"/>
  <c r="E30" i="16" s="1"/>
  <c r="C130" i="30"/>
  <c r="C26" i="16" s="1"/>
  <c r="V108" i="31"/>
  <c r="E31" i="16" s="1"/>
  <c r="R117" i="31"/>
  <c r="U110" i="1"/>
  <c r="D7" i="16" s="1"/>
  <c r="C129" i="1"/>
  <c r="W112" i="1"/>
  <c r="D130" i="31"/>
  <c r="C38" i="16" s="1"/>
  <c r="C123" i="1"/>
  <c r="V114" i="1"/>
  <c r="E11" i="16" s="1"/>
  <c r="X111" i="1"/>
  <c r="C127" i="1"/>
  <c r="W115" i="31"/>
  <c r="W107" i="31"/>
  <c r="W114" i="1"/>
  <c r="W114" i="30"/>
  <c r="T108" i="1"/>
  <c r="C5" i="16" s="1"/>
  <c r="X108" i="1"/>
  <c r="U114" i="31"/>
  <c r="D37" i="16" s="1"/>
  <c r="Y109" i="1"/>
  <c r="X108" i="30"/>
  <c r="T110" i="30"/>
  <c r="C20" i="16" s="1"/>
  <c r="V115" i="1"/>
  <c r="V107" i="1"/>
  <c r="E4" i="16" s="1"/>
  <c r="C126" i="30"/>
  <c r="U112" i="30"/>
  <c r="D22" i="16" s="1"/>
  <c r="Y114" i="30"/>
  <c r="J117" i="31"/>
  <c r="D129" i="1"/>
  <c r="T113" i="1"/>
  <c r="C10" i="16" s="1"/>
  <c r="D128" i="1"/>
  <c r="Y108" i="31"/>
  <c r="W115" i="30"/>
  <c r="W107" i="30"/>
  <c r="T111" i="1"/>
  <c r="C8" i="16" s="1"/>
  <c r="V111" i="30"/>
  <c r="E21" i="16" s="1"/>
  <c r="T110" i="1"/>
  <c r="C7" i="16" s="1"/>
  <c r="C122" i="30"/>
  <c r="U113" i="31"/>
  <c r="D36" i="16" s="1"/>
  <c r="X107" i="31"/>
  <c r="X115" i="31"/>
  <c r="Y108" i="30"/>
  <c r="C129" i="31"/>
  <c r="W110" i="31"/>
  <c r="W109" i="31"/>
  <c r="D130" i="1"/>
  <c r="C12" i="16" s="1"/>
  <c r="V113" i="1"/>
  <c r="E10" i="16" s="1"/>
  <c r="D124" i="1"/>
  <c r="X109" i="1"/>
  <c r="Y114" i="1"/>
  <c r="U109" i="1"/>
  <c r="D6" i="16" s="1"/>
  <c r="C129" i="30"/>
  <c r="Y110" i="30"/>
  <c r="U108" i="1"/>
  <c r="D5" i="16" s="1"/>
  <c r="Y112" i="1"/>
  <c r="W112" i="30"/>
  <c r="V109" i="1"/>
  <c r="E6" i="16" s="1"/>
  <c r="U109" i="30"/>
  <c r="D19" i="16" s="1"/>
  <c r="C130" i="31"/>
  <c r="C39" i="16" s="1"/>
  <c r="W107" i="1"/>
  <c r="W115" i="1"/>
  <c r="T109" i="30"/>
  <c r="C19" i="16" s="1"/>
  <c r="V113" i="30"/>
  <c r="E23" i="16" s="1"/>
  <c r="Y107" i="30"/>
  <c r="Y115" i="30"/>
  <c r="U108" i="31"/>
  <c r="D31" i="16" s="1"/>
  <c r="Y110" i="31"/>
  <c r="W112" i="31"/>
  <c r="X110" i="30"/>
  <c r="T109" i="31"/>
  <c r="C32" i="16" s="1"/>
  <c r="Y111" i="31"/>
  <c r="V112" i="1"/>
  <c r="E9" i="16" s="1"/>
  <c r="W113" i="30"/>
  <c r="U108" i="30"/>
  <c r="D18" i="16" s="1"/>
  <c r="X114" i="1"/>
  <c r="T108" i="30"/>
  <c r="C18" i="16" s="1"/>
  <c r="U111" i="1"/>
  <c r="D8" i="16" s="1"/>
  <c r="X110" i="1"/>
  <c r="T111" i="30"/>
  <c r="C21" i="16" s="1"/>
  <c r="X112" i="31"/>
  <c r="U110" i="30"/>
  <c r="D20" i="16" s="1"/>
  <c r="T113" i="31"/>
  <c r="C36" i="16" s="1"/>
  <c r="C127" i="31"/>
  <c r="T115" i="30"/>
  <c r="T107" i="30"/>
  <c r="C17" i="16" s="1"/>
  <c r="W108" i="30"/>
  <c r="X111" i="31"/>
  <c r="J110" i="31"/>
  <c r="R110" i="30"/>
  <c r="J107" i="31"/>
  <c r="R108" i="1"/>
  <c r="J116" i="30"/>
  <c r="J111" i="31"/>
  <c r="R110" i="31"/>
  <c r="R107" i="1"/>
  <c r="R111" i="30"/>
  <c r="J112" i="31"/>
  <c r="R107" i="31"/>
  <c r="R109" i="31"/>
  <c r="J112" i="1"/>
  <c r="J107" i="30"/>
  <c r="J108" i="30"/>
  <c r="J112" i="30"/>
  <c r="J114" i="31"/>
  <c r="R109" i="30"/>
  <c r="R111" i="31"/>
  <c r="R108" i="31"/>
  <c r="J109" i="31"/>
  <c r="R112" i="31"/>
  <c r="J107" i="1"/>
  <c r="R110" i="1"/>
  <c r="R107" i="30"/>
  <c r="R111" i="1"/>
  <c r="J111" i="1"/>
  <c r="R108" i="30"/>
  <c r="D123" i="30" l="1"/>
  <c r="D126" i="1"/>
  <c r="D122" i="30"/>
  <c r="D125" i="1"/>
  <c r="D127" i="31"/>
  <c r="D123" i="31"/>
  <c r="D126" i="31"/>
  <c r="D124" i="30"/>
  <c r="D129" i="31"/>
  <c r="D127" i="30"/>
  <c r="D127" i="1"/>
  <c r="D124" i="31"/>
  <c r="D122" i="31"/>
  <c r="D126" i="30"/>
  <c r="D122" i="1"/>
  <c r="D125" i="31"/>
  <c r="D130" i="30"/>
  <c r="C25" i="16" s="1"/>
  <c r="D123" i="1"/>
  <c r="D125" i="30"/>
</calcChain>
</file>

<file path=xl/sharedStrings.xml><?xml version="1.0" encoding="utf-8"?>
<sst xmlns="http://schemas.openxmlformats.org/spreadsheetml/2006/main" count="276" uniqueCount="70">
  <si>
    <t>QPISlice</t>
  </si>
  <si>
    <t>All</t>
  </si>
  <si>
    <t>Time geomean</t>
  </si>
  <si>
    <t>Time sum (hours)</t>
  </si>
  <si>
    <t>kbps</t>
  </si>
  <si>
    <t>Enc T [s]</t>
  </si>
  <si>
    <t>Dec T [s]</t>
  </si>
  <si>
    <t>Enc T [h]</t>
  </si>
  <si>
    <t>Enc Time[%]</t>
  </si>
  <si>
    <t>Dec Time[%]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</si>
  <si>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</si>
  <si>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</si>
  <si>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</si>
  <si>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</si>
  <si>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</si>
  <si>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Time Ratio</t>
  </si>
  <si>
    <t>Decoding</t>
  </si>
  <si>
    <t>Encoding</t>
  </si>
  <si>
    <t xml:space="preserve">All Intra </t>
  </si>
  <si>
    <t xml:space="preserve">Random Access </t>
  </si>
  <si>
    <t xml:space="preserve">Low delay B </t>
  </si>
  <si>
    <t>RGB, text &amp; graphics with motion, 1080p</t>
  </si>
  <si>
    <t>RGB, text &amp; graphics with motion,720p</t>
  </si>
  <si>
    <t>RGB, mixed content, 1440p</t>
  </si>
  <si>
    <t>RGB, mixed content, 1080p</t>
  </si>
  <si>
    <t>RGB, Animation, 720p</t>
  </si>
  <si>
    <t>YUV, text &amp; graphics with motion, 1080p</t>
  </si>
  <si>
    <t>YUV, text &amp; graphics with motion,720p</t>
  </si>
  <si>
    <t>YUV, mixed content, 1440p</t>
  </si>
  <si>
    <t>YUV, mixed content, 1080p</t>
  </si>
  <si>
    <t>YUV, Animation, 720p</t>
  </si>
  <si>
    <t xml:space="preserve">   </t>
  </si>
  <si>
    <t>EBURainFruits_1920x1080_50_10bit_444</t>
  </si>
  <si>
    <t>Kimono1_1920x1080_24_10bit_444</t>
  </si>
  <si>
    <t>YUV, camera captured, 1080p</t>
  </si>
  <si>
    <t>RGB, camera captured, 1080p</t>
  </si>
  <si>
    <t>MSE PSNR (tested)</t>
  </si>
  <si>
    <t>MSE PSNR (anchor)</t>
  </si>
  <si>
    <t>sc_flyingGraphics_1920x1080_60_8bit_rgb</t>
  </si>
  <si>
    <t>sc_desktop_1920x1080_60_8bit_rgb</t>
  </si>
  <si>
    <t>sc_console_1920x1080_60_8bit_rgb</t>
  </si>
  <si>
    <t>sc_web_browsing_1280x720_30_8bit_300_rgb</t>
  </si>
  <si>
    <t>sc_map_1280x720_60_8bit</t>
  </si>
  <si>
    <t>sc_programming_1280x720_60_8bit</t>
  </si>
  <si>
    <t>sc_SlideShow_1280x720_20_8bit_500</t>
  </si>
  <si>
    <t>Basketball_Screen_2560x1440_60p_8b444</t>
  </si>
  <si>
    <t>MissionControlClip2_2560x1440_60p_8b444</t>
  </si>
  <si>
    <t>MissionControlClip3_1920x1080_60p_8b444</t>
  </si>
  <si>
    <t>sc_robot_1280x720_30_8bit_300</t>
  </si>
  <si>
    <t>sc_flyingGraphics_1920x1080_60_8bit_444</t>
  </si>
  <si>
    <t>sc_desktop_1920x1080_60_8bit_444</t>
  </si>
  <si>
    <t>sc_console_1920x1080_60_8bit_444</t>
  </si>
  <si>
    <t>sc_web_browsing_1280x720_30_8bit_300_444_r1</t>
  </si>
  <si>
    <t>sc_map_1280x720_60_8bit_444</t>
  </si>
  <si>
    <t>sc_programming_1280x720_60_8bit_444</t>
  </si>
  <si>
    <t>sc_SlideShow_1280x720_20_8bit_500_444</t>
  </si>
  <si>
    <t>sc_robot_1280x720_30_8bit_300_444</t>
  </si>
  <si>
    <t>G/Y</t>
  </si>
  <si>
    <t>B/U</t>
  </si>
  <si>
    <t>R/V</t>
  </si>
  <si>
    <t>G/Y psnr</t>
  </si>
  <si>
    <t>B/U psnr</t>
  </si>
  <si>
    <t>R/V psnr</t>
  </si>
  <si>
    <t xml:space="preserve">R/V </t>
  </si>
  <si>
    <t>RGB, text &amp; graphics with motion, 1080p &amp; 720p</t>
  </si>
  <si>
    <t>RGB, mixed content, 1440p &amp; 1080p</t>
  </si>
  <si>
    <t>YUV, text &amp; graphics with motion, 1080p &amp; 720p</t>
  </si>
  <si>
    <t>YUV, mixed content, 1440p &amp; 1080p</t>
  </si>
  <si>
    <t xml:space="preserve">Anchor </t>
  </si>
  <si>
    <t xml:space="preserve">Tested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</si>
</sst>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_ "/>
    <numFmt numFmtId="165" formatCode="0.0%"/>
    <numFmt numFmtId="166" formatCode="0.0000"/>
  </numFmts>
  <fonts count="43" x14ac:knownFonts="1"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9"/>
      <color rgb="FF222222"/>
      <name val="Arial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9"/>
      <color rgb="FF000000"/>
      <name val="Arial"/>
      <family val="2"/>
    </font>
    <font>
      <b/>
      <sz val="9"/>
      <color theme="1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D5B4"/>
        <bgColor indexed="64"/>
      </patternFill>
    </fill>
  </fills>
  <borders count="3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</borders>
  <cellStyleXfs count="2892">
    <xf numFmtId="0" fontId="0" fillId="0" borderId="0"/>
    <xf numFmtId="0" fontId="17" fillId="0" borderId="0"/>
    <xf numFmtId="0" fontId="18" fillId="0" borderId="0"/>
    <xf numFmtId="0" fontId="12" fillId="0" borderId="0"/>
    <xf numFmtId="0" fontId="19" fillId="0" borderId="0"/>
    <xf numFmtId="9" fontId="19" fillId="0" borderId="0" applyFont="0" applyFill="0" applyBorder="0" applyAlignment="0" applyProtection="0"/>
    <xf numFmtId="0" fontId="17" fillId="0" borderId="0"/>
    <xf numFmtId="0" fontId="17" fillId="0" borderId="0"/>
    <xf numFmtId="0" fontId="12" fillId="0" borderId="0"/>
    <xf numFmtId="0" fontId="20" fillId="0" borderId="0" applyNumberFormat="0" applyFill="0" applyBorder="0" applyAlignment="0" applyProtection="0"/>
    <xf numFmtId="0" fontId="21" fillId="0" borderId="16" applyNumberFormat="0" applyFill="0" applyAlignment="0" applyProtection="0"/>
    <xf numFmtId="0" fontId="22" fillId="0" borderId="17" applyNumberFormat="0" applyFill="0" applyAlignment="0" applyProtection="0"/>
    <xf numFmtId="0" fontId="23" fillId="0" borderId="18" applyNumberFormat="0" applyFill="0" applyAlignment="0" applyProtection="0"/>
    <xf numFmtId="0" fontId="23" fillId="0" borderId="0" applyNumberFormat="0" applyFill="0" applyBorder="0" applyAlignment="0" applyProtection="0"/>
    <xf numFmtId="0" fontId="24" fillId="3" borderId="0" applyNumberFormat="0" applyBorder="0" applyAlignment="0" applyProtection="0"/>
    <xf numFmtId="0" fontId="25" fillId="4" borderId="0" applyNumberFormat="0" applyBorder="0" applyAlignment="0" applyProtection="0"/>
    <xf numFmtId="0" fontId="26" fillId="5" borderId="0" applyNumberFormat="0" applyBorder="0" applyAlignment="0" applyProtection="0"/>
    <xf numFmtId="0" fontId="27" fillId="6" borderId="19" applyNumberFormat="0" applyAlignment="0" applyProtection="0"/>
    <xf numFmtId="0" fontId="28" fillId="7" borderId="20" applyNumberFormat="0" applyAlignment="0" applyProtection="0"/>
    <xf numFmtId="0" fontId="29" fillId="7" borderId="19" applyNumberFormat="0" applyAlignment="0" applyProtection="0"/>
    <xf numFmtId="0" fontId="30" fillId="0" borderId="21" applyNumberFormat="0" applyFill="0" applyAlignment="0" applyProtection="0"/>
    <xf numFmtId="0" fontId="31" fillId="8" borderId="22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24" applyNumberFormat="0" applyFill="0" applyAlignment="0" applyProtection="0"/>
    <xf numFmtId="0" fontId="35" fillId="10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35" fillId="33" borderId="0" applyNumberFormat="0" applyBorder="0" applyAlignment="0" applyProtection="0"/>
    <xf numFmtId="0" fontId="11" fillId="0" borderId="0"/>
    <xf numFmtId="0" fontId="11" fillId="9" borderId="23" applyNumberFormat="0" applyFont="0" applyAlignment="0" applyProtection="0"/>
    <xf numFmtId="0" fontId="10" fillId="0" borderId="0"/>
    <xf numFmtId="0" fontId="10" fillId="9" borderId="23" applyNumberFormat="0" applyFont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31" borderId="0" applyNumberFormat="0" applyBorder="0" applyAlignment="0" applyProtection="0"/>
    <xf numFmtId="0" fontId="10" fillId="32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0" borderId="0"/>
    <xf numFmtId="0" fontId="9" fillId="9" borderId="23" applyNumberFormat="0" applyFont="0" applyAlignment="0" applyProtection="0"/>
    <xf numFmtId="0" fontId="9" fillId="0" borderId="0"/>
    <xf numFmtId="0" fontId="9" fillId="9" borderId="23" applyNumberFormat="0" applyFont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0" borderId="0"/>
    <xf numFmtId="0" fontId="8" fillId="0" borderId="0"/>
    <xf numFmtId="0" fontId="8" fillId="0" borderId="0"/>
    <xf numFmtId="0" fontId="8" fillId="0" borderId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23" applyNumberFormat="0" applyFont="0" applyAlignment="0" applyProtection="0"/>
    <xf numFmtId="0" fontId="8" fillId="0" borderId="0"/>
    <xf numFmtId="0" fontId="8" fillId="9" borderId="23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7" fillId="0" borderId="0"/>
    <xf numFmtId="0" fontId="7" fillId="9" borderId="23" applyNumberFormat="0" applyFont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0" borderId="0"/>
    <xf numFmtId="0" fontId="6" fillId="9" borderId="23" applyNumberFormat="0" applyFont="0" applyAlignment="0" applyProtection="0"/>
    <xf numFmtId="0" fontId="6" fillId="0" borderId="0"/>
    <xf numFmtId="0" fontId="6" fillId="9" borderId="23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0" borderId="0"/>
    <xf numFmtId="0" fontId="5" fillId="0" borderId="0"/>
    <xf numFmtId="0" fontId="5" fillId="9" borderId="23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0" borderId="0"/>
    <xf numFmtId="0" fontId="4" fillId="9" borderId="23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0" borderId="0"/>
    <xf numFmtId="0" fontId="4" fillId="9" borderId="23" applyNumberFormat="0" applyFont="0" applyAlignment="0" applyProtection="0"/>
    <xf numFmtId="0" fontId="4" fillId="0" borderId="0"/>
    <xf numFmtId="0" fontId="4" fillId="9" borderId="23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9" borderId="23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0" borderId="0"/>
    <xf numFmtId="0" fontId="4" fillId="9" borderId="23" applyNumberFormat="0" applyFont="0" applyAlignment="0" applyProtection="0"/>
    <xf numFmtId="0" fontId="4" fillId="0" borderId="0"/>
    <xf numFmtId="0" fontId="4" fillId="9" borderId="23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0" borderId="0"/>
    <xf numFmtId="0" fontId="4" fillId="9" borderId="23" applyNumberFormat="0" applyFont="0" applyAlignment="0" applyProtection="0"/>
    <xf numFmtId="0" fontId="4" fillId="0" borderId="0"/>
    <xf numFmtId="0" fontId="4" fillId="9" borderId="23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9" borderId="23" applyNumberFormat="0" applyFont="0" applyAlignment="0" applyProtection="0"/>
    <xf numFmtId="0" fontId="4" fillId="0" borderId="0"/>
    <xf numFmtId="0" fontId="4" fillId="9" borderId="23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0" borderId="0"/>
    <xf numFmtId="0" fontId="4" fillId="9" borderId="23" applyNumberFormat="0" applyFont="0" applyAlignment="0" applyProtection="0"/>
    <xf numFmtId="0" fontId="4" fillId="0" borderId="0"/>
    <xf numFmtId="0" fontId="4" fillId="9" borderId="23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0" borderId="0"/>
    <xf numFmtId="0" fontId="4" fillId="9" borderId="23" applyNumberFormat="0" applyFont="0" applyAlignment="0" applyProtection="0"/>
    <xf numFmtId="0" fontId="4" fillId="0" borderId="0"/>
    <xf numFmtId="0" fontId="4" fillId="9" borderId="23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0" borderId="0"/>
    <xf numFmtId="0" fontId="4" fillId="9" borderId="23" applyNumberFormat="0" applyFont="0" applyAlignment="0" applyProtection="0"/>
    <xf numFmtId="0" fontId="4" fillId="0" borderId="0"/>
    <xf numFmtId="0" fontId="4" fillId="9" borderId="23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0" borderId="0"/>
    <xf numFmtId="0" fontId="4" fillId="9" borderId="23" applyNumberFormat="0" applyFont="0" applyAlignment="0" applyProtection="0"/>
    <xf numFmtId="0" fontId="4" fillId="0" borderId="0"/>
    <xf numFmtId="0" fontId="4" fillId="9" borderId="23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0" borderId="0"/>
    <xf numFmtId="0" fontId="4" fillId="0" borderId="0"/>
    <xf numFmtId="0" fontId="4" fillId="9" borderId="23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0" borderId="0"/>
    <xf numFmtId="0" fontId="4" fillId="9" borderId="23" applyNumberFormat="0" applyFont="0" applyAlignment="0" applyProtection="0"/>
    <xf numFmtId="0" fontId="4" fillId="0" borderId="0"/>
    <xf numFmtId="0" fontId="4" fillId="9" borderId="23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23" applyNumberFormat="0" applyFont="0" applyAlignment="0" applyProtection="0"/>
    <xf numFmtId="0" fontId="3" fillId="0" borderId="0"/>
    <xf numFmtId="0" fontId="3" fillId="0" borderId="0"/>
    <xf numFmtId="0" fontId="3" fillId="0" borderId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23" applyNumberFormat="0" applyFont="0" applyAlignment="0" applyProtection="0"/>
    <xf numFmtId="0" fontId="3" fillId="0" borderId="0"/>
    <xf numFmtId="0" fontId="3" fillId="9" borderId="23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9" borderId="23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23" applyNumberFormat="0" applyFont="0" applyAlignment="0" applyProtection="0"/>
    <xf numFmtId="0" fontId="3" fillId="0" borderId="0"/>
    <xf numFmtId="0" fontId="3" fillId="9" borderId="23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23" applyNumberFormat="0" applyFont="0" applyAlignment="0" applyProtection="0"/>
    <xf numFmtId="0" fontId="3" fillId="0" borderId="0"/>
    <xf numFmtId="0" fontId="3" fillId="9" borderId="23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9" borderId="23" applyNumberFormat="0" applyFont="0" applyAlignment="0" applyProtection="0"/>
    <xf numFmtId="0" fontId="3" fillId="0" borderId="0"/>
    <xf numFmtId="0" fontId="3" fillId="9" borderId="23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23" applyNumberFormat="0" applyFont="0" applyAlignment="0" applyProtection="0"/>
    <xf numFmtId="0" fontId="3" fillId="0" borderId="0"/>
    <xf numFmtId="0" fontId="3" fillId="9" borderId="23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23" applyNumberFormat="0" applyFont="0" applyAlignment="0" applyProtection="0"/>
    <xf numFmtId="0" fontId="3" fillId="0" borderId="0"/>
    <xf numFmtId="0" fontId="3" fillId="9" borderId="23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23" applyNumberFormat="0" applyFont="0" applyAlignment="0" applyProtection="0"/>
    <xf numFmtId="0" fontId="3" fillId="0" borderId="0"/>
    <xf numFmtId="0" fontId="3" fillId="9" borderId="23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23" applyNumberFormat="0" applyFont="0" applyAlignment="0" applyProtection="0"/>
    <xf numFmtId="0" fontId="3" fillId="0" borderId="0"/>
    <xf numFmtId="0" fontId="3" fillId="9" borderId="23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0" borderId="0"/>
    <xf numFmtId="0" fontId="3" fillId="9" borderId="23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23" applyNumberFormat="0" applyFont="0" applyAlignment="0" applyProtection="0"/>
    <xf numFmtId="0" fontId="3" fillId="0" borderId="0"/>
    <xf numFmtId="0" fontId="3" fillId="9" borderId="23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0" borderId="0"/>
    <xf numFmtId="0" fontId="3" fillId="9" borderId="23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28" borderId="0" applyNumberFormat="0" applyBorder="0" applyAlignment="0" applyProtection="0"/>
    <xf numFmtId="0" fontId="2" fillId="23" borderId="0" applyNumberFormat="0" applyBorder="0" applyAlignment="0" applyProtection="0"/>
    <xf numFmtId="0" fontId="2" fillId="0" borderId="0"/>
    <xf numFmtId="0" fontId="2" fillId="12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16" borderId="0" applyNumberFormat="0" applyBorder="0" applyAlignment="0" applyProtection="0"/>
    <xf numFmtId="0" fontId="2" fillId="24" borderId="0" applyNumberFormat="0" applyBorder="0" applyAlignment="0" applyProtection="0"/>
    <xf numFmtId="0" fontId="2" fillId="0" borderId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7" borderId="0" applyNumberFormat="0" applyBorder="0" applyAlignment="0" applyProtection="0"/>
    <xf numFmtId="0" fontId="2" fillId="1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28" borderId="0" applyNumberFormat="0" applyBorder="0" applyAlignment="0" applyProtection="0"/>
    <xf numFmtId="0" fontId="1" fillId="23" borderId="0" applyNumberFormat="0" applyBorder="0" applyAlignment="0" applyProtection="0"/>
    <xf numFmtId="0" fontId="1" fillId="0" borderId="0"/>
    <xf numFmtId="0" fontId="1" fillId="12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16" borderId="0" applyNumberFormat="0" applyBorder="0" applyAlignment="0" applyProtection="0"/>
    <xf numFmtId="0" fontId="1" fillId="24" borderId="0" applyNumberFormat="0" applyBorder="0" applyAlignment="0" applyProtection="0"/>
    <xf numFmtId="0" fontId="1" fillId="0" borderId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7" borderId="0" applyNumberFormat="0" applyBorder="0" applyAlignment="0" applyProtection="0"/>
    <xf numFmtId="0" fontId="1" fillId="1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9">
    <xf numFmtId="0" fontId="0" fillId="0" borderId="0" xfId="0"/>
    <xf numFmtId="0" fontId="14" fillId="0" borderId="0" xfId="0" applyFont="1"/>
    <xf numFmtId="0" fontId="14" fillId="0" borderId="0" xfId="0" applyFont="1" applyBorder="1" applyAlignment="1">
      <alignment horizontal="center"/>
    </xf>
    <xf numFmtId="0" fontId="14" fillId="0" borderId="3" xfId="0" applyFont="1" applyBorder="1"/>
    <xf numFmtId="2" fontId="14" fillId="0" borderId="0" xfId="0" applyNumberFormat="1" applyFont="1"/>
    <xf numFmtId="0" fontId="14" fillId="0" borderId="9" xfId="0" applyFont="1" applyBorder="1"/>
    <xf numFmtId="0" fontId="14" fillId="0" borderId="0" xfId="0" applyFont="1" applyBorder="1"/>
    <xf numFmtId="0" fontId="14" fillId="0" borderId="10" xfId="0" applyFont="1" applyBorder="1"/>
    <xf numFmtId="0" fontId="14" fillId="0" borderId="12" xfId="0" applyFont="1" applyBorder="1"/>
    <xf numFmtId="0" fontId="14" fillId="0" borderId="13" xfId="0" applyFont="1" applyBorder="1"/>
    <xf numFmtId="165" fontId="14" fillId="0" borderId="9" xfId="0" applyNumberFormat="1" applyFont="1" applyBorder="1" applyAlignment="1">
      <alignment horizontal="center"/>
    </xf>
    <xf numFmtId="165" fontId="14" fillId="0" borderId="0" xfId="0" applyNumberFormat="1" applyFont="1" applyBorder="1" applyAlignment="1">
      <alignment horizontal="center"/>
    </xf>
    <xf numFmtId="0" fontId="15" fillId="0" borderId="0" xfId="0" applyFont="1"/>
    <xf numFmtId="0" fontId="14" fillId="0" borderId="8" xfId="0" applyFont="1" applyBorder="1" applyAlignment="1">
      <alignment horizontal="center"/>
    </xf>
    <xf numFmtId="0" fontId="14" fillId="0" borderId="9" xfId="0" applyFont="1" applyBorder="1" applyAlignment="1">
      <alignment horizontal="center"/>
    </xf>
    <xf numFmtId="0" fontId="14" fillId="0" borderId="15" xfId="0" applyFont="1" applyBorder="1"/>
    <xf numFmtId="0" fontId="14" fillId="0" borderId="4" xfId="0" applyFont="1" applyBorder="1"/>
    <xf numFmtId="0" fontId="14" fillId="0" borderId="0" xfId="0" applyFont="1"/>
    <xf numFmtId="0" fontId="14" fillId="0" borderId="3" xfId="0" applyFont="1" applyBorder="1"/>
    <xf numFmtId="0" fontId="14" fillId="0" borderId="7" xfId="0" applyFont="1" applyBorder="1"/>
    <xf numFmtId="0" fontId="14" fillId="0" borderId="10" xfId="0" applyFont="1" applyBorder="1"/>
    <xf numFmtId="0" fontId="14" fillId="0" borderId="0" xfId="0" applyFont="1"/>
    <xf numFmtId="0" fontId="14" fillId="0" borderId="4" xfId="0" applyFont="1" applyBorder="1" applyAlignment="1">
      <alignment horizontal="center"/>
    </xf>
    <xf numFmtId="0" fontId="14" fillId="0" borderId="6" xfId="0" applyFont="1" applyBorder="1" applyAlignment="1">
      <alignment horizontal="center"/>
    </xf>
    <xf numFmtId="164" fontId="14" fillId="2" borderId="0" xfId="0" applyNumberFormat="1" applyFont="1" applyFill="1" applyBorder="1" applyAlignment="1"/>
    <xf numFmtId="164" fontId="14" fillId="2" borderId="26" xfId="0" applyNumberFormat="1" applyFont="1" applyFill="1" applyBorder="1" applyAlignment="1"/>
    <xf numFmtId="2" fontId="14" fillId="0" borderId="6" xfId="0" applyNumberFormat="1" applyFont="1" applyBorder="1" applyAlignment="1">
      <alignment horizontal="center"/>
    </xf>
    <xf numFmtId="0" fontId="14" fillId="0" borderId="6" xfId="0" applyFont="1" applyBorder="1"/>
    <xf numFmtId="0" fontId="14" fillId="0" borderId="0" xfId="0" applyFont="1" applyBorder="1" applyAlignment="1">
      <alignment horizontal="center"/>
    </xf>
    <xf numFmtId="165" fontId="14" fillId="0" borderId="4" xfId="0" applyNumberFormat="1" applyFont="1" applyBorder="1" applyAlignment="1">
      <alignment horizontal="center"/>
    </xf>
    <xf numFmtId="165" fontId="14" fillId="0" borderId="12" xfId="0" applyNumberFormat="1" applyFont="1" applyBorder="1" applyAlignment="1">
      <alignment horizontal="center"/>
    </xf>
    <xf numFmtId="164" fontId="14" fillId="2" borderId="28" xfId="0" applyNumberFormat="1" applyFont="1" applyFill="1" applyBorder="1" applyAlignment="1"/>
    <xf numFmtId="165" fontId="14" fillId="0" borderId="8" xfId="0" applyNumberFormat="1" applyFont="1" applyBorder="1" applyAlignment="1">
      <alignment horizontal="center"/>
    </xf>
    <xf numFmtId="164" fontId="14" fillId="2" borderId="13" xfId="0" applyNumberFormat="1" applyFont="1" applyFill="1" applyBorder="1" applyAlignment="1"/>
    <xf numFmtId="0" fontId="14" fillId="0" borderId="3" xfId="0" applyFont="1" applyBorder="1" applyAlignment="1"/>
    <xf numFmtId="0" fontId="14" fillId="0" borderId="7" xfId="0" applyFont="1" applyFill="1" applyBorder="1" applyAlignment="1"/>
    <xf numFmtId="0" fontId="14" fillId="0" borderId="7" xfId="0" applyFont="1" applyBorder="1" applyAlignment="1"/>
    <xf numFmtId="0" fontId="14" fillId="0" borderId="29" xfId="0" applyFont="1" applyBorder="1" applyAlignment="1"/>
    <xf numFmtId="0" fontId="14" fillId="0" borderId="30" xfId="0" applyFont="1" applyBorder="1" applyAlignment="1"/>
    <xf numFmtId="0" fontId="16" fillId="0" borderId="29" xfId="0" applyFont="1" applyBorder="1" applyAlignment="1"/>
    <xf numFmtId="0" fontId="16" fillId="0" borderId="7" xfId="0" applyFont="1" applyBorder="1" applyAlignment="1"/>
    <xf numFmtId="0" fontId="16" fillId="0" borderId="30" xfId="0" applyFont="1" applyBorder="1" applyAlignment="1"/>
    <xf numFmtId="0" fontId="14" fillId="0" borderId="10" xfId="0" applyFont="1" applyBorder="1" applyAlignment="1"/>
    <xf numFmtId="164" fontId="14" fillId="2" borderId="6" xfId="0" applyNumberFormat="1" applyFont="1" applyFill="1" applyBorder="1" applyAlignment="1"/>
    <xf numFmtId="165" fontId="14" fillId="0" borderId="5" xfId="0" applyNumberFormat="1" applyFont="1" applyBorder="1" applyAlignment="1">
      <alignment horizontal="center"/>
    </xf>
    <xf numFmtId="165" fontId="14" fillId="0" borderId="11" xfId="0" applyNumberFormat="1" applyFont="1" applyBorder="1" applyAlignment="1">
      <alignment horizontal="center"/>
    </xf>
    <xf numFmtId="165" fontId="14" fillId="0" borderId="6" xfId="0" applyNumberFormat="1" applyFont="1" applyBorder="1" applyAlignment="1">
      <alignment horizontal="center"/>
    </xf>
    <xf numFmtId="165" fontId="14" fillId="0" borderId="13" xfId="0" applyNumberFormat="1" applyFont="1" applyBorder="1" applyAlignment="1">
      <alignment horizontal="center"/>
    </xf>
    <xf numFmtId="0" fontId="38" fillId="0" borderId="7" xfId="0" applyFont="1" applyBorder="1" applyAlignment="1"/>
    <xf numFmtId="0" fontId="38" fillId="0" borderId="30" xfId="0" applyFont="1" applyBorder="1" applyAlignment="1"/>
    <xf numFmtId="0" fontId="38" fillId="0" borderId="29" xfId="0" applyFont="1" applyBorder="1" applyAlignment="1"/>
    <xf numFmtId="0" fontId="16" fillId="0" borderId="7" xfId="0" applyFont="1" applyFill="1" applyBorder="1" applyAlignment="1"/>
    <xf numFmtId="0" fontId="39" fillId="0" borderId="0" xfId="0" applyFont="1" applyBorder="1"/>
    <xf numFmtId="0" fontId="39" fillId="0" borderId="9" xfId="0" applyFont="1" applyBorder="1"/>
    <xf numFmtId="0" fontId="40" fillId="0" borderId="4" xfId="0" applyFont="1" applyBorder="1"/>
    <xf numFmtId="0" fontId="39" fillId="0" borderId="0" xfId="0" applyFont="1"/>
    <xf numFmtId="0" fontId="39" fillId="0" borderId="13" xfId="0" applyFont="1" applyBorder="1"/>
    <xf numFmtId="0" fontId="39" fillId="0" borderId="27" xfId="0" applyFont="1" applyBorder="1"/>
    <xf numFmtId="0" fontId="39" fillId="0" borderId="25" xfId="0" applyFont="1" applyBorder="1"/>
    <xf numFmtId="1" fontId="14" fillId="0" borderId="0" xfId="0" applyNumberFormat="1" applyFont="1" applyBorder="1"/>
    <xf numFmtId="0" fontId="14" fillId="0" borderId="30" xfId="0" applyFont="1" applyBorder="1"/>
    <xf numFmtId="0" fontId="14" fillId="0" borderId="29" xfId="0" applyFont="1" applyBorder="1"/>
    <xf numFmtId="0" fontId="14" fillId="0" borderId="31" xfId="0" applyFont="1" applyBorder="1" applyAlignment="1">
      <alignment horizontal="center"/>
    </xf>
    <xf numFmtId="0" fontId="14" fillId="0" borderId="32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2" fontId="14" fillId="34" borderId="8" xfId="0" applyNumberFormat="1" applyFont="1" applyFill="1" applyBorder="1"/>
    <xf numFmtId="2" fontId="14" fillId="34" borderId="11" xfId="0" applyNumberFormat="1" applyFont="1" applyFill="1" applyBorder="1"/>
    <xf numFmtId="2" fontId="14" fillId="34" borderId="7" xfId="0" applyNumberFormat="1" applyFont="1" applyFill="1" applyBorder="1"/>
    <xf numFmtId="2" fontId="14" fillId="34" borderId="10" xfId="0" applyNumberFormat="1" applyFont="1" applyFill="1" applyBorder="1"/>
    <xf numFmtId="2" fontId="14" fillId="34" borderId="3" xfId="0" applyNumberFormat="1" applyFont="1" applyFill="1" applyBorder="1"/>
    <xf numFmtId="2" fontId="14" fillId="34" borderId="5" xfId="0" applyNumberFormat="1" applyFont="1" applyFill="1" applyBorder="1"/>
    <xf numFmtId="0" fontId="14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2" fontId="14" fillId="34" borderId="4" xfId="0" applyNumberFormat="1" applyFont="1" applyFill="1" applyBorder="1"/>
    <xf numFmtId="2" fontId="14" fillId="34" borderId="9" xfId="0" applyNumberFormat="1" applyFont="1" applyFill="1" applyBorder="1"/>
    <xf numFmtId="2" fontId="14" fillId="34" borderId="12" xfId="0" applyNumberFormat="1" applyFont="1" applyFill="1" applyBorder="1"/>
    <xf numFmtId="0" fontId="14" fillId="0" borderId="10" xfId="0" applyFont="1" applyFill="1" applyBorder="1" applyAlignment="1"/>
    <xf numFmtId="0" fontId="38" fillId="0" borderId="10" xfId="0" applyFont="1" applyBorder="1" applyAlignment="1"/>
    <xf numFmtId="0" fontId="16" fillId="0" borderId="10" xfId="0" applyFont="1" applyBorder="1" applyAlignment="1"/>
    <xf numFmtId="0" fontId="16" fillId="0" borderId="3" xfId="0" applyFont="1" applyBorder="1" applyAlignment="1"/>
    <xf numFmtId="0" fontId="14" fillId="0" borderId="3" xfId="0" applyFont="1" applyBorder="1" applyAlignment="1">
      <alignment horizontal="center"/>
    </xf>
    <xf numFmtId="1" fontId="14" fillId="0" borderId="3" xfId="0" applyNumberFormat="1" applyFont="1" applyBorder="1"/>
    <xf numFmtId="1" fontId="14" fillId="0" borderId="7" xfId="0" applyNumberFormat="1" applyFont="1" applyBorder="1"/>
    <xf numFmtId="164" fontId="14" fillId="36" borderId="3" xfId="0" applyNumberFormat="1" applyFont="1" applyFill="1" applyBorder="1" applyAlignment="1"/>
    <xf numFmtId="164" fontId="14" fillId="36" borderId="7" xfId="0" applyNumberFormat="1" applyFont="1" applyFill="1" applyBorder="1" applyAlignment="1"/>
    <xf numFmtId="164" fontId="14" fillId="36" borderId="30" xfId="0" applyNumberFormat="1" applyFont="1" applyFill="1" applyBorder="1" applyAlignment="1"/>
    <xf numFmtId="164" fontId="14" fillId="36" borderId="10" xfId="0" applyNumberFormat="1" applyFont="1" applyFill="1" applyBorder="1" applyAlignment="1"/>
    <xf numFmtId="10" fontId="14" fillId="34" borderId="3" xfId="0" applyNumberFormat="1" applyFont="1" applyFill="1" applyBorder="1"/>
    <xf numFmtId="10" fontId="14" fillId="34" borderId="5" xfId="0" applyNumberFormat="1" applyFont="1" applyFill="1" applyBorder="1"/>
    <xf numFmtId="10" fontId="14" fillId="34" borderId="7" xfId="0" applyNumberFormat="1" applyFont="1" applyFill="1" applyBorder="1"/>
    <xf numFmtId="10" fontId="14" fillId="34" borderId="8" xfId="0" applyNumberFormat="1" applyFont="1" applyFill="1" applyBorder="1"/>
    <xf numFmtId="10" fontId="14" fillId="34" borderId="30" xfId="0" applyNumberFormat="1" applyFont="1" applyFill="1" applyBorder="1"/>
    <xf numFmtId="10" fontId="14" fillId="34" borderId="34" xfId="0" applyNumberFormat="1" applyFont="1" applyFill="1" applyBorder="1"/>
    <xf numFmtId="10" fontId="14" fillId="34" borderId="29" xfId="0" applyNumberFormat="1" applyFont="1" applyFill="1" applyBorder="1"/>
    <xf numFmtId="10" fontId="14" fillId="34" borderId="36" xfId="0" applyNumberFormat="1" applyFont="1" applyFill="1" applyBorder="1"/>
    <xf numFmtId="10" fontId="14" fillId="34" borderId="10" xfId="0" applyNumberFormat="1" applyFont="1" applyFill="1" applyBorder="1"/>
    <xf numFmtId="10" fontId="14" fillId="34" borderId="11" xfId="0" applyNumberFormat="1" applyFont="1" applyFill="1" applyBorder="1"/>
    <xf numFmtId="10" fontId="14" fillId="36" borderId="8" xfId="0" applyNumberFormat="1" applyFont="1" applyFill="1" applyBorder="1"/>
    <xf numFmtId="164" fontId="14" fillId="35" borderId="6" xfId="0" applyNumberFormat="1" applyFont="1" applyFill="1" applyBorder="1" applyAlignment="1"/>
    <xf numFmtId="2" fontId="14" fillId="35" borderId="6" xfId="0" applyNumberFormat="1" applyFont="1" applyFill="1" applyBorder="1" applyAlignment="1"/>
    <xf numFmtId="164" fontId="14" fillId="35" borderId="0" xfId="0" applyNumberFormat="1" applyFont="1" applyFill="1" applyBorder="1" applyAlignment="1"/>
    <xf numFmtId="2" fontId="14" fillId="35" borderId="0" xfId="0" applyNumberFormat="1" applyFont="1" applyFill="1" applyBorder="1" applyAlignment="1"/>
    <xf numFmtId="164" fontId="14" fillId="35" borderId="26" xfId="0" applyNumberFormat="1" applyFont="1" applyFill="1" applyBorder="1" applyAlignment="1"/>
    <xf numFmtId="2" fontId="14" fillId="35" borderId="26" xfId="0" applyNumberFormat="1" applyFont="1" applyFill="1" applyBorder="1" applyAlignment="1"/>
    <xf numFmtId="164" fontId="14" fillId="35" borderId="28" xfId="0" applyNumberFormat="1" applyFont="1" applyFill="1" applyBorder="1" applyAlignment="1"/>
    <xf numFmtId="2" fontId="14" fillId="35" borderId="28" xfId="0" applyNumberFormat="1" applyFont="1" applyFill="1" applyBorder="1" applyAlignment="1"/>
    <xf numFmtId="164" fontId="14" fillId="35" borderId="13" xfId="0" applyNumberFormat="1" applyFont="1" applyFill="1" applyBorder="1" applyAlignment="1"/>
    <xf numFmtId="2" fontId="14" fillId="35" borderId="13" xfId="0" applyNumberFormat="1" applyFont="1" applyFill="1" applyBorder="1" applyAlignment="1"/>
    <xf numFmtId="2" fontId="41" fillId="35" borderId="4" xfId="0" applyNumberFormat="1" applyFont="1" applyFill="1" applyBorder="1"/>
    <xf numFmtId="2" fontId="41" fillId="35" borderId="6" xfId="0" applyNumberFormat="1" applyFont="1" applyFill="1" applyBorder="1"/>
    <xf numFmtId="2" fontId="41" fillId="35" borderId="9" xfId="0" applyNumberFormat="1" applyFont="1" applyFill="1" applyBorder="1"/>
    <xf numFmtId="2" fontId="41" fillId="35" borderId="0" xfId="0" applyNumberFormat="1" applyFont="1" applyFill="1" applyBorder="1"/>
    <xf numFmtId="2" fontId="41" fillId="35" borderId="33" xfId="0" applyNumberFormat="1" applyFont="1" applyFill="1" applyBorder="1"/>
    <xf numFmtId="2" fontId="41" fillId="35" borderId="26" xfId="0" applyNumberFormat="1" applyFont="1" applyFill="1" applyBorder="1"/>
    <xf numFmtId="2" fontId="41" fillId="35" borderId="35" xfId="0" applyNumberFormat="1" applyFont="1" applyFill="1" applyBorder="1"/>
    <xf numFmtId="2" fontId="41" fillId="35" borderId="28" xfId="0" applyNumberFormat="1" applyFont="1" applyFill="1" applyBorder="1"/>
    <xf numFmtId="2" fontId="41" fillId="35" borderId="12" xfId="0" applyNumberFormat="1" applyFont="1" applyFill="1" applyBorder="1"/>
    <xf numFmtId="2" fontId="41" fillId="35" borderId="13" xfId="0" applyNumberFormat="1" applyFont="1" applyFill="1" applyBorder="1"/>
    <xf numFmtId="2" fontId="41" fillId="35" borderId="5" xfId="0" applyNumberFormat="1" applyFont="1" applyFill="1" applyBorder="1"/>
    <xf numFmtId="2" fontId="41" fillId="35" borderId="8" xfId="0" applyNumberFormat="1" applyFont="1" applyFill="1" applyBorder="1"/>
    <xf numFmtId="2" fontId="41" fillId="35" borderId="34" xfId="0" applyNumberFormat="1" applyFont="1" applyFill="1" applyBorder="1"/>
    <xf numFmtId="0" fontId="41" fillId="35" borderId="36" xfId="0" applyFont="1" applyFill="1" applyBorder="1"/>
    <xf numFmtId="0" fontId="41" fillId="35" borderId="8" xfId="0" applyFont="1" applyFill="1" applyBorder="1"/>
    <xf numFmtId="2" fontId="41" fillId="35" borderId="11" xfId="0" applyNumberFormat="1" applyFont="1" applyFill="1" applyBorder="1"/>
    <xf numFmtId="2" fontId="41" fillId="35" borderId="36" xfId="0" applyNumberFormat="1" applyFont="1" applyFill="1" applyBorder="1"/>
    <xf numFmtId="0" fontId="39" fillId="0" borderId="11" xfId="0" applyFont="1" applyBorder="1"/>
    <xf numFmtId="0" fontId="14" fillId="0" borderId="31" xfId="0" applyFont="1" applyBorder="1" applyAlignment="1">
      <alignment horizontal="center"/>
    </xf>
    <xf numFmtId="0" fontId="14" fillId="0" borderId="32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2" fontId="41" fillId="35" borderId="4" xfId="1" applyNumberFormat="1" applyFont="1" applyFill="1" applyBorder="1"/>
    <xf numFmtId="2" fontId="41" fillId="35" borderId="6" xfId="1" applyNumberFormat="1" applyFont="1" applyFill="1" applyBorder="1"/>
    <xf numFmtId="2" fontId="41" fillId="35" borderId="9" xfId="1" applyNumberFormat="1" applyFont="1" applyFill="1" applyBorder="1"/>
    <xf numFmtId="2" fontId="41" fillId="35" borderId="0" xfId="1" applyNumberFormat="1" applyFont="1" applyFill="1" applyBorder="1"/>
    <xf numFmtId="2" fontId="41" fillId="35" borderId="33" xfId="1" applyNumberFormat="1" applyFont="1" applyFill="1" applyBorder="1"/>
    <xf numFmtId="2" fontId="41" fillId="35" borderId="26" xfId="1" applyNumberFormat="1" applyFont="1" applyFill="1" applyBorder="1"/>
    <xf numFmtId="2" fontId="41" fillId="35" borderId="35" xfId="1" applyNumberFormat="1" applyFont="1" applyFill="1" applyBorder="1"/>
    <xf numFmtId="2" fontId="41" fillId="35" borderId="28" xfId="1" applyNumberFormat="1" applyFont="1" applyFill="1" applyBorder="1"/>
    <xf numFmtId="2" fontId="41" fillId="35" borderId="12" xfId="1" applyNumberFormat="1" applyFont="1" applyFill="1" applyBorder="1"/>
    <xf numFmtId="2" fontId="41" fillId="35" borderId="13" xfId="1" applyNumberFormat="1" applyFont="1" applyFill="1" applyBorder="1"/>
    <xf numFmtId="166" fontId="14" fillId="0" borderId="0" xfId="0" applyNumberFormat="1" applyFont="1"/>
    <xf numFmtId="9" fontId="14" fillId="0" borderId="12" xfId="0" applyNumberFormat="1" applyFont="1" applyBorder="1" applyAlignment="1">
      <alignment horizontal="center"/>
    </xf>
    <xf numFmtId="9" fontId="14" fillId="0" borderId="13" xfId="0" applyNumberFormat="1" applyFont="1" applyBorder="1" applyAlignment="1">
      <alignment horizontal="center"/>
    </xf>
    <xf numFmtId="9" fontId="14" fillId="0" borderId="11" xfId="0" applyNumberFormat="1" applyFont="1" applyBorder="1" applyAlignment="1">
      <alignment horizontal="center"/>
    </xf>
    <xf numFmtId="9" fontId="14" fillId="0" borderId="9" xfId="0" applyNumberFormat="1" applyFont="1" applyBorder="1" applyAlignment="1">
      <alignment horizontal="center"/>
    </xf>
    <xf numFmtId="9" fontId="14" fillId="0" borderId="0" xfId="0" applyNumberFormat="1" applyFont="1" applyBorder="1" applyAlignment="1">
      <alignment horizontal="center"/>
    </xf>
    <xf numFmtId="9" fontId="14" fillId="0" borderId="8" xfId="0" applyNumberFormat="1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9" fontId="14" fillId="0" borderId="4" xfId="0" applyNumberFormat="1" applyFont="1" applyBorder="1" applyAlignment="1">
      <alignment horizontal="center"/>
    </xf>
    <xf numFmtId="9" fontId="14" fillId="0" borderId="6" xfId="0" applyNumberFormat="1" applyFont="1" applyBorder="1" applyAlignment="1">
      <alignment horizontal="center"/>
    </xf>
    <xf numFmtId="9" fontId="14" fillId="0" borderId="5" xfId="0" applyNumberFormat="1" applyFont="1" applyBorder="1" applyAlignment="1">
      <alignment horizontal="center"/>
    </xf>
    <xf numFmtId="0" fontId="15" fillId="0" borderId="13" xfId="0" applyFont="1" applyBorder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2" xfId="0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42" fillId="0" borderId="13" xfId="0" applyFont="1" applyBorder="1" applyAlignment="1">
      <alignment horizontal="center"/>
    </xf>
  </cellXfs>
  <cellStyles count="2892">
    <cellStyle name="20% - Accent1" xfId="26" builtinId="30" customBuiltin="1"/>
    <cellStyle name="20% - Accent1 10" xfId="818"/>
    <cellStyle name="20% - Accent1 10 2" xfId="2279"/>
    <cellStyle name="20% - Accent1 11" xfId="1498"/>
    <cellStyle name="20% - Accent1 2" xfId="53"/>
    <cellStyle name="20% - Accent1 2 10" xfId="1514"/>
    <cellStyle name="20% - Accent1 2 2" xfId="84"/>
    <cellStyle name="20% - Accent1 2 2 2" xfId="404"/>
    <cellStyle name="20% - Accent1 2 2 2 2" xfId="710"/>
    <cellStyle name="20% - Accent1 2 2 2 2 2" xfId="1326"/>
    <cellStyle name="20% - Accent1 2 2 2 2 2 2" xfId="2787"/>
    <cellStyle name="20% - Accent1 2 2 2 2 3" xfId="2171"/>
    <cellStyle name="20% - Accent1 2 2 2 3" xfId="1020"/>
    <cellStyle name="20% - Accent1 2 2 2 3 2" xfId="2481"/>
    <cellStyle name="20% - Accent1 2 2 2 4" xfId="1865"/>
    <cellStyle name="20% - Accent1 2 2 3" xfId="289"/>
    <cellStyle name="20% - Accent1 2 2 3 2" xfId="1211"/>
    <cellStyle name="20% - Accent1 2 2 3 2 2" xfId="2672"/>
    <cellStyle name="20% - Accent1 2 2 3 3" xfId="1750"/>
    <cellStyle name="20% - Accent1 2 2 4" xfId="595"/>
    <cellStyle name="20% - Accent1 2 2 4 2" xfId="2056"/>
    <cellStyle name="20% - Accent1 2 2 5" xfId="866"/>
    <cellStyle name="20% - Accent1 2 2 5 2" xfId="2327"/>
    <cellStyle name="20% - Accent1 2 2 6" xfId="1545"/>
    <cellStyle name="20% - Accent1 2 3" xfId="116"/>
    <cellStyle name="20% - Accent1 2 3 2" xfId="436"/>
    <cellStyle name="20% - Accent1 2 3 2 2" xfId="742"/>
    <cellStyle name="20% - Accent1 2 3 2 2 2" xfId="1358"/>
    <cellStyle name="20% - Accent1 2 3 2 2 2 2" xfId="2819"/>
    <cellStyle name="20% - Accent1 2 3 2 2 3" xfId="2203"/>
    <cellStyle name="20% - Accent1 2 3 2 3" xfId="1052"/>
    <cellStyle name="20% - Accent1 2 3 2 3 2" xfId="2513"/>
    <cellStyle name="20% - Accent1 2 3 2 4" xfId="1897"/>
    <cellStyle name="20% - Accent1 2 3 3" xfId="309"/>
    <cellStyle name="20% - Accent1 2 3 3 2" xfId="1231"/>
    <cellStyle name="20% - Accent1 2 3 3 2 2" xfId="2692"/>
    <cellStyle name="20% - Accent1 2 3 3 3" xfId="1770"/>
    <cellStyle name="20% - Accent1 2 3 4" xfId="615"/>
    <cellStyle name="20% - Accent1 2 3 4 2" xfId="2076"/>
    <cellStyle name="20% - Accent1 2 3 5" xfId="898"/>
    <cellStyle name="20% - Accent1 2 3 5 2" xfId="2359"/>
    <cellStyle name="20% - Accent1 2 3 6" xfId="1577"/>
    <cellStyle name="20% - Accent1 2 4" xfId="162"/>
    <cellStyle name="20% - Accent1 2 4 2" xfId="482"/>
    <cellStyle name="20% - Accent1 2 4 2 2" xfId="788"/>
    <cellStyle name="20% - Accent1 2 4 2 2 2" xfId="1404"/>
    <cellStyle name="20% - Accent1 2 4 2 2 2 2" xfId="2865"/>
    <cellStyle name="20% - Accent1 2 4 2 2 3" xfId="2249"/>
    <cellStyle name="20% - Accent1 2 4 2 3" xfId="1098"/>
    <cellStyle name="20% - Accent1 2 4 2 3 2" xfId="2559"/>
    <cellStyle name="20% - Accent1 2 4 2 4" xfId="1943"/>
    <cellStyle name="20% - Accent1 2 4 3" xfId="258"/>
    <cellStyle name="20% - Accent1 2 4 3 2" xfId="1180"/>
    <cellStyle name="20% - Accent1 2 4 3 2 2" xfId="2641"/>
    <cellStyle name="20% - Accent1 2 4 3 3" xfId="1719"/>
    <cellStyle name="20% - Accent1 2 4 4" xfId="564"/>
    <cellStyle name="20% - Accent1 2 4 4 2" xfId="2025"/>
    <cellStyle name="20% - Accent1 2 4 5" xfId="944"/>
    <cellStyle name="20% - Accent1 2 4 5 2" xfId="2405"/>
    <cellStyle name="20% - Accent1 2 4 6" xfId="1623"/>
    <cellStyle name="20% - Accent1 2 5" xfId="341"/>
    <cellStyle name="20% - Accent1 2 5 2" xfId="647"/>
    <cellStyle name="20% - Accent1 2 5 2 2" xfId="1263"/>
    <cellStyle name="20% - Accent1 2 5 2 2 2" xfId="2724"/>
    <cellStyle name="20% - Accent1 2 5 2 3" xfId="2108"/>
    <cellStyle name="20% - Accent1 2 5 3" xfId="989"/>
    <cellStyle name="20% - Accent1 2 5 3 2" xfId="2450"/>
    <cellStyle name="20% - Accent1 2 5 4" xfId="1802"/>
    <cellStyle name="20% - Accent1 2 6" xfId="373"/>
    <cellStyle name="20% - Accent1 2 6 2" xfId="679"/>
    <cellStyle name="20% - Accent1 2 6 2 2" xfId="2140"/>
    <cellStyle name="20% - Accent1 2 6 3" xfId="1295"/>
    <cellStyle name="20% - Accent1 2 6 3 2" xfId="2756"/>
    <cellStyle name="20% - Accent1 2 6 4" xfId="1834"/>
    <cellStyle name="20% - Accent1 2 7" xfId="225"/>
    <cellStyle name="20% - Accent1 2 7 2" xfId="1147"/>
    <cellStyle name="20% - Accent1 2 7 2 2" xfId="2608"/>
    <cellStyle name="20% - Accent1 2 7 3" xfId="1686"/>
    <cellStyle name="20% - Accent1 2 8" xfId="531"/>
    <cellStyle name="20% - Accent1 2 8 2" xfId="1992"/>
    <cellStyle name="20% - Accent1 2 9" xfId="835"/>
    <cellStyle name="20% - Accent1 2 9 2" xfId="2296"/>
    <cellStyle name="20% - Accent1 3" xfId="68"/>
    <cellStyle name="20% - Accent1 3 2" xfId="273"/>
    <cellStyle name="20% - Accent1 3 2 2" xfId="579"/>
    <cellStyle name="20% - Accent1 3 2 2 2" xfId="1195"/>
    <cellStyle name="20% - Accent1 3 2 2 2 2" xfId="2656"/>
    <cellStyle name="20% - Accent1 3 2 2 3" xfId="2040"/>
    <cellStyle name="20% - Accent1 3 2 3" xfId="1004"/>
    <cellStyle name="20% - Accent1 3 2 3 2" xfId="2465"/>
    <cellStyle name="20% - Accent1 3 2 4" xfId="1734"/>
    <cellStyle name="20% - Accent1 3 3" xfId="388"/>
    <cellStyle name="20% - Accent1 3 3 2" xfId="694"/>
    <cellStyle name="20% - Accent1 3 3 2 2" xfId="2155"/>
    <cellStyle name="20% - Accent1 3 3 3" xfId="1310"/>
    <cellStyle name="20% - Accent1 3 3 3 2" xfId="2771"/>
    <cellStyle name="20% - Accent1 3 3 4" xfId="1849"/>
    <cellStyle name="20% - Accent1 3 4" xfId="209"/>
    <cellStyle name="20% - Accent1 3 4 2" xfId="1131"/>
    <cellStyle name="20% - Accent1 3 4 2 2" xfId="2592"/>
    <cellStyle name="20% - Accent1 3 4 3" xfId="1670"/>
    <cellStyle name="20% - Accent1 3 5" xfId="515"/>
    <cellStyle name="20% - Accent1 3 5 2" xfId="1976"/>
    <cellStyle name="20% - Accent1 3 6" xfId="850"/>
    <cellStyle name="20% - Accent1 3 6 2" xfId="2311"/>
    <cellStyle name="20% - Accent1 3 7" xfId="1529"/>
    <cellStyle name="20% - Accent1 4" xfId="100"/>
    <cellStyle name="20% - Accent1 4 2" xfId="420"/>
    <cellStyle name="20% - Accent1 4 2 2" xfId="726"/>
    <cellStyle name="20% - Accent1 4 2 2 2" xfId="1342"/>
    <cellStyle name="20% - Accent1 4 2 2 2 2" xfId="2803"/>
    <cellStyle name="20% - Accent1 4 2 2 3" xfId="2187"/>
    <cellStyle name="20% - Accent1 4 2 3" xfId="1036"/>
    <cellStyle name="20% - Accent1 4 2 3 2" xfId="2497"/>
    <cellStyle name="20% - Accent1 4 2 4" xfId="1881"/>
    <cellStyle name="20% - Accent1 4 3" xfId="242"/>
    <cellStyle name="20% - Accent1 4 3 2" xfId="1164"/>
    <cellStyle name="20% - Accent1 4 3 2 2" xfId="2625"/>
    <cellStyle name="20% - Accent1 4 3 3" xfId="1703"/>
    <cellStyle name="20% - Accent1 4 4" xfId="548"/>
    <cellStyle name="20% - Accent1 4 4 2" xfId="2009"/>
    <cellStyle name="20% - Accent1 4 5" xfId="882"/>
    <cellStyle name="20% - Accent1 4 5 2" xfId="2343"/>
    <cellStyle name="20% - Accent1 4 6" xfId="1561"/>
    <cellStyle name="20% - Accent1 5" xfId="131"/>
    <cellStyle name="20% - Accent1 5 2" xfId="451"/>
    <cellStyle name="20% - Accent1 5 2 2" xfId="757"/>
    <cellStyle name="20% - Accent1 5 2 2 2" xfId="1373"/>
    <cellStyle name="20% - Accent1 5 2 2 2 2" xfId="2834"/>
    <cellStyle name="20% - Accent1 5 2 2 3" xfId="2218"/>
    <cellStyle name="20% - Accent1 5 2 3" xfId="1067"/>
    <cellStyle name="20% - Accent1 5 2 3 2" xfId="2528"/>
    <cellStyle name="20% - Accent1 5 2 4" xfId="1912"/>
    <cellStyle name="20% - Accent1 5 3" xfId="325"/>
    <cellStyle name="20% - Accent1 5 3 2" xfId="1247"/>
    <cellStyle name="20% - Accent1 5 3 2 2" xfId="2708"/>
    <cellStyle name="20% - Accent1 5 3 3" xfId="1786"/>
    <cellStyle name="20% - Accent1 5 4" xfId="631"/>
    <cellStyle name="20% - Accent1 5 4 2" xfId="2092"/>
    <cellStyle name="20% - Accent1 5 5" xfId="913"/>
    <cellStyle name="20% - Accent1 5 5 2" xfId="2374"/>
    <cellStyle name="20% - Accent1 5 6" xfId="1592"/>
    <cellStyle name="20% - Accent1 6" xfId="146"/>
    <cellStyle name="20% - Accent1 6 2" xfId="466"/>
    <cellStyle name="20% - Accent1 6 2 2" xfId="1082"/>
    <cellStyle name="20% - Accent1 6 2 2 2" xfId="2543"/>
    <cellStyle name="20% - Accent1 6 2 3" xfId="1927"/>
    <cellStyle name="20% - Accent1 6 3" xfId="772"/>
    <cellStyle name="20% - Accent1 6 3 2" xfId="1388"/>
    <cellStyle name="20% - Accent1 6 3 2 2" xfId="2849"/>
    <cellStyle name="20% - Accent1 6 3 3" xfId="2233"/>
    <cellStyle name="20% - Accent1 6 4" xfId="928"/>
    <cellStyle name="20% - Accent1 6 4 2" xfId="2389"/>
    <cellStyle name="20% - Accent1 6 5" xfId="1607"/>
    <cellStyle name="20% - Accent1 7" xfId="177"/>
    <cellStyle name="20% - Accent1 7 2" xfId="357"/>
    <cellStyle name="20% - Accent1 7 2 2" xfId="1279"/>
    <cellStyle name="20% - Accent1 7 2 2 2" xfId="2740"/>
    <cellStyle name="20% - Accent1 7 2 3" xfId="1818"/>
    <cellStyle name="20% - Accent1 7 3" xfId="663"/>
    <cellStyle name="20% - Accent1 7 3 2" xfId="2124"/>
    <cellStyle name="20% - Accent1 7 4" xfId="959"/>
    <cellStyle name="20% - Accent1 7 4 2" xfId="2420"/>
    <cellStyle name="20% - Accent1 7 5" xfId="1638"/>
    <cellStyle name="20% - Accent1 8" xfId="192"/>
    <cellStyle name="20% - Accent1 8 2" xfId="803"/>
    <cellStyle name="20% - Accent1 8 2 2" xfId="1419"/>
    <cellStyle name="20% - Accent1 8 2 2 2" xfId="2880"/>
    <cellStyle name="20% - Accent1 8 2 3" xfId="2264"/>
    <cellStyle name="20% - Accent1 8 3" xfId="983"/>
    <cellStyle name="20% - Accent1 8 3 2" xfId="2444"/>
    <cellStyle name="20% - Accent1 8 4" xfId="1653"/>
    <cellStyle name="20% - Accent1 9" xfId="498"/>
    <cellStyle name="20% - Accent1 9 2" xfId="1114"/>
    <cellStyle name="20% - Accent1 9 2 2" xfId="2575"/>
    <cellStyle name="20% - Accent1 9 3" xfId="1959"/>
    <cellStyle name="20% - Accent2" xfId="30" builtinId="34" customBuiltin="1"/>
    <cellStyle name="20% - Accent2 10" xfId="820"/>
    <cellStyle name="20% - Accent2 10 2" xfId="2281"/>
    <cellStyle name="20% - Accent2 11" xfId="1500"/>
    <cellStyle name="20% - Accent2 2" xfId="55"/>
    <cellStyle name="20% - Accent2 2 10" xfId="1516"/>
    <cellStyle name="20% - Accent2 2 2" xfId="86"/>
    <cellStyle name="20% - Accent2 2 2 2" xfId="406"/>
    <cellStyle name="20% - Accent2 2 2 2 2" xfId="712"/>
    <cellStyle name="20% - Accent2 2 2 2 2 2" xfId="1328"/>
    <cellStyle name="20% - Accent2 2 2 2 2 2 2" xfId="2789"/>
    <cellStyle name="20% - Accent2 2 2 2 2 3" xfId="2173"/>
    <cellStyle name="20% - Accent2 2 2 2 3" xfId="1022"/>
    <cellStyle name="20% - Accent2 2 2 2 3 2" xfId="2483"/>
    <cellStyle name="20% - Accent2 2 2 2 4" xfId="1867"/>
    <cellStyle name="20% - Accent2 2 2 3" xfId="291"/>
    <cellStyle name="20% - Accent2 2 2 3 2" xfId="1213"/>
    <cellStyle name="20% - Accent2 2 2 3 2 2" xfId="2674"/>
    <cellStyle name="20% - Accent2 2 2 3 3" xfId="1752"/>
    <cellStyle name="20% - Accent2 2 2 4" xfId="597"/>
    <cellStyle name="20% - Accent2 2 2 4 2" xfId="2058"/>
    <cellStyle name="20% - Accent2 2 2 5" xfId="868"/>
    <cellStyle name="20% - Accent2 2 2 5 2" xfId="2329"/>
    <cellStyle name="20% - Accent2 2 2 6" xfId="1547"/>
    <cellStyle name="20% - Accent2 2 3" xfId="118"/>
    <cellStyle name="20% - Accent2 2 3 2" xfId="438"/>
    <cellStyle name="20% - Accent2 2 3 2 2" xfId="744"/>
    <cellStyle name="20% - Accent2 2 3 2 2 2" xfId="1360"/>
    <cellStyle name="20% - Accent2 2 3 2 2 2 2" xfId="2821"/>
    <cellStyle name="20% - Accent2 2 3 2 2 3" xfId="2205"/>
    <cellStyle name="20% - Accent2 2 3 2 3" xfId="1054"/>
    <cellStyle name="20% - Accent2 2 3 2 3 2" xfId="2515"/>
    <cellStyle name="20% - Accent2 2 3 2 4" xfId="1899"/>
    <cellStyle name="20% - Accent2 2 3 3" xfId="311"/>
    <cellStyle name="20% - Accent2 2 3 3 2" xfId="1233"/>
    <cellStyle name="20% - Accent2 2 3 3 2 2" xfId="2694"/>
    <cellStyle name="20% - Accent2 2 3 3 3" xfId="1772"/>
    <cellStyle name="20% - Accent2 2 3 4" xfId="617"/>
    <cellStyle name="20% - Accent2 2 3 4 2" xfId="2078"/>
    <cellStyle name="20% - Accent2 2 3 5" xfId="900"/>
    <cellStyle name="20% - Accent2 2 3 5 2" xfId="2361"/>
    <cellStyle name="20% - Accent2 2 3 6" xfId="1579"/>
    <cellStyle name="20% - Accent2 2 4" xfId="164"/>
    <cellStyle name="20% - Accent2 2 4 2" xfId="484"/>
    <cellStyle name="20% - Accent2 2 4 2 2" xfId="790"/>
    <cellStyle name="20% - Accent2 2 4 2 2 2" xfId="1406"/>
    <cellStyle name="20% - Accent2 2 4 2 2 2 2" xfId="2867"/>
    <cellStyle name="20% - Accent2 2 4 2 2 3" xfId="2251"/>
    <cellStyle name="20% - Accent2 2 4 2 3" xfId="1100"/>
    <cellStyle name="20% - Accent2 2 4 2 3 2" xfId="2561"/>
    <cellStyle name="20% - Accent2 2 4 2 4" xfId="1945"/>
    <cellStyle name="20% - Accent2 2 4 3" xfId="260"/>
    <cellStyle name="20% - Accent2 2 4 3 2" xfId="1182"/>
    <cellStyle name="20% - Accent2 2 4 3 2 2" xfId="2643"/>
    <cellStyle name="20% - Accent2 2 4 3 3" xfId="1721"/>
    <cellStyle name="20% - Accent2 2 4 4" xfId="566"/>
    <cellStyle name="20% - Accent2 2 4 4 2" xfId="2027"/>
    <cellStyle name="20% - Accent2 2 4 5" xfId="946"/>
    <cellStyle name="20% - Accent2 2 4 5 2" xfId="2407"/>
    <cellStyle name="20% - Accent2 2 4 6" xfId="1625"/>
    <cellStyle name="20% - Accent2 2 5" xfId="343"/>
    <cellStyle name="20% - Accent2 2 5 2" xfId="649"/>
    <cellStyle name="20% - Accent2 2 5 2 2" xfId="1265"/>
    <cellStyle name="20% - Accent2 2 5 2 2 2" xfId="2726"/>
    <cellStyle name="20% - Accent2 2 5 2 3" xfId="2110"/>
    <cellStyle name="20% - Accent2 2 5 3" xfId="991"/>
    <cellStyle name="20% - Accent2 2 5 3 2" xfId="2452"/>
    <cellStyle name="20% - Accent2 2 5 4" xfId="1804"/>
    <cellStyle name="20% - Accent2 2 6" xfId="375"/>
    <cellStyle name="20% - Accent2 2 6 2" xfId="681"/>
    <cellStyle name="20% - Accent2 2 6 2 2" xfId="2142"/>
    <cellStyle name="20% - Accent2 2 6 3" xfId="1297"/>
    <cellStyle name="20% - Accent2 2 6 3 2" xfId="2758"/>
    <cellStyle name="20% - Accent2 2 6 4" xfId="1836"/>
    <cellStyle name="20% - Accent2 2 7" xfId="227"/>
    <cellStyle name="20% - Accent2 2 7 2" xfId="1149"/>
    <cellStyle name="20% - Accent2 2 7 2 2" xfId="2610"/>
    <cellStyle name="20% - Accent2 2 7 3" xfId="1688"/>
    <cellStyle name="20% - Accent2 2 8" xfId="533"/>
    <cellStyle name="20% - Accent2 2 8 2" xfId="1994"/>
    <cellStyle name="20% - Accent2 2 9" xfId="837"/>
    <cellStyle name="20% - Accent2 2 9 2" xfId="2298"/>
    <cellStyle name="20% - Accent2 3" xfId="70"/>
    <cellStyle name="20% - Accent2 3 2" xfId="275"/>
    <cellStyle name="20% - Accent2 3 2 2" xfId="581"/>
    <cellStyle name="20% - Accent2 3 2 2 2" xfId="1197"/>
    <cellStyle name="20% - Accent2 3 2 2 2 2" xfId="2658"/>
    <cellStyle name="20% - Accent2 3 2 2 3" xfId="2042"/>
    <cellStyle name="20% - Accent2 3 2 3" xfId="1006"/>
    <cellStyle name="20% - Accent2 3 2 3 2" xfId="2467"/>
    <cellStyle name="20% - Accent2 3 2 4" xfId="1736"/>
    <cellStyle name="20% - Accent2 3 3" xfId="390"/>
    <cellStyle name="20% - Accent2 3 3 2" xfId="696"/>
    <cellStyle name="20% - Accent2 3 3 2 2" xfId="2157"/>
    <cellStyle name="20% - Accent2 3 3 3" xfId="1312"/>
    <cellStyle name="20% - Accent2 3 3 3 2" xfId="2773"/>
    <cellStyle name="20% - Accent2 3 3 4" xfId="1851"/>
    <cellStyle name="20% - Accent2 3 4" xfId="211"/>
    <cellStyle name="20% - Accent2 3 4 2" xfId="1133"/>
    <cellStyle name="20% - Accent2 3 4 2 2" xfId="2594"/>
    <cellStyle name="20% - Accent2 3 4 3" xfId="1672"/>
    <cellStyle name="20% - Accent2 3 5" xfId="517"/>
    <cellStyle name="20% - Accent2 3 5 2" xfId="1978"/>
    <cellStyle name="20% - Accent2 3 6" xfId="852"/>
    <cellStyle name="20% - Accent2 3 6 2" xfId="2313"/>
    <cellStyle name="20% - Accent2 3 7" xfId="1531"/>
    <cellStyle name="20% - Accent2 4" xfId="102"/>
    <cellStyle name="20% - Accent2 4 2" xfId="422"/>
    <cellStyle name="20% - Accent2 4 2 2" xfId="728"/>
    <cellStyle name="20% - Accent2 4 2 2 2" xfId="1344"/>
    <cellStyle name="20% - Accent2 4 2 2 2 2" xfId="2805"/>
    <cellStyle name="20% - Accent2 4 2 2 3" xfId="2189"/>
    <cellStyle name="20% - Accent2 4 2 3" xfId="1038"/>
    <cellStyle name="20% - Accent2 4 2 3 2" xfId="2499"/>
    <cellStyle name="20% - Accent2 4 2 4" xfId="1883"/>
    <cellStyle name="20% - Accent2 4 3" xfId="244"/>
    <cellStyle name="20% - Accent2 4 3 2" xfId="1166"/>
    <cellStyle name="20% - Accent2 4 3 2 2" xfId="2627"/>
    <cellStyle name="20% - Accent2 4 3 3" xfId="1705"/>
    <cellStyle name="20% - Accent2 4 4" xfId="550"/>
    <cellStyle name="20% - Accent2 4 4 2" xfId="2011"/>
    <cellStyle name="20% - Accent2 4 5" xfId="884"/>
    <cellStyle name="20% - Accent2 4 5 2" xfId="2345"/>
    <cellStyle name="20% - Accent2 4 6" xfId="1563"/>
    <cellStyle name="20% - Accent2 5" xfId="133"/>
    <cellStyle name="20% - Accent2 5 2" xfId="453"/>
    <cellStyle name="20% - Accent2 5 2 2" xfId="759"/>
    <cellStyle name="20% - Accent2 5 2 2 2" xfId="1375"/>
    <cellStyle name="20% - Accent2 5 2 2 2 2" xfId="2836"/>
    <cellStyle name="20% - Accent2 5 2 2 3" xfId="2220"/>
    <cellStyle name="20% - Accent2 5 2 3" xfId="1069"/>
    <cellStyle name="20% - Accent2 5 2 3 2" xfId="2530"/>
    <cellStyle name="20% - Accent2 5 2 4" xfId="1914"/>
    <cellStyle name="20% - Accent2 5 3" xfId="327"/>
    <cellStyle name="20% - Accent2 5 3 2" xfId="1249"/>
    <cellStyle name="20% - Accent2 5 3 2 2" xfId="2710"/>
    <cellStyle name="20% - Accent2 5 3 3" xfId="1788"/>
    <cellStyle name="20% - Accent2 5 4" xfId="633"/>
    <cellStyle name="20% - Accent2 5 4 2" xfId="2094"/>
    <cellStyle name="20% - Accent2 5 5" xfId="915"/>
    <cellStyle name="20% - Accent2 5 5 2" xfId="2376"/>
    <cellStyle name="20% - Accent2 5 6" xfId="1594"/>
    <cellStyle name="20% - Accent2 6" xfId="148"/>
    <cellStyle name="20% - Accent2 6 2" xfId="468"/>
    <cellStyle name="20% - Accent2 6 2 2" xfId="1084"/>
    <cellStyle name="20% - Accent2 6 2 2 2" xfId="2545"/>
    <cellStyle name="20% - Accent2 6 2 3" xfId="1929"/>
    <cellStyle name="20% - Accent2 6 3" xfId="774"/>
    <cellStyle name="20% - Accent2 6 3 2" xfId="1390"/>
    <cellStyle name="20% - Accent2 6 3 2 2" xfId="2851"/>
    <cellStyle name="20% - Accent2 6 3 3" xfId="2235"/>
    <cellStyle name="20% - Accent2 6 4" xfId="930"/>
    <cellStyle name="20% - Accent2 6 4 2" xfId="2391"/>
    <cellStyle name="20% - Accent2 6 5" xfId="1609"/>
    <cellStyle name="20% - Accent2 7" xfId="179"/>
    <cellStyle name="20% - Accent2 7 2" xfId="359"/>
    <cellStyle name="20% - Accent2 7 2 2" xfId="1281"/>
    <cellStyle name="20% - Accent2 7 2 2 2" xfId="2742"/>
    <cellStyle name="20% - Accent2 7 2 3" xfId="1820"/>
    <cellStyle name="20% - Accent2 7 3" xfId="665"/>
    <cellStyle name="20% - Accent2 7 3 2" xfId="2126"/>
    <cellStyle name="20% - Accent2 7 4" xfId="961"/>
    <cellStyle name="20% - Accent2 7 4 2" xfId="2422"/>
    <cellStyle name="20% - Accent2 7 5" xfId="1640"/>
    <cellStyle name="20% - Accent2 8" xfId="194"/>
    <cellStyle name="20% - Accent2 8 2" xfId="805"/>
    <cellStyle name="20% - Accent2 8 2 2" xfId="1421"/>
    <cellStyle name="20% - Accent2 8 2 2 2" xfId="2882"/>
    <cellStyle name="20% - Accent2 8 2 3" xfId="2266"/>
    <cellStyle name="20% - Accent2 8 3" xfId="980"/>
    <cellStyle name="20% - Accent2 8 3 2" xfId="2441"/>
    <cellStyle name="20% - Accent2 8 4" xfId="1655"/>
    <cellStyle name="20% - Accent2 9" xfId="500"/>
    <cellStyle name="20% - Accent2 9 2" xfId="1116"/>
    <cellStyle name="20% - Accent2 9 2 2" xfId="2577"/>
    <cellStyle name="20% - Accent2 9 3" xfId="1961"/>
    <cellStyle name="20% - Accent3" xfId="34" builtinId="38" customBuiltin="1"/>
    <cellStyle name="20% - Accent3 10" xfId="823"/>
    <cellStyle name="20% - Accent3 10 2" xfId="2284"/>
    <cellStyle name="20% - Accent3 11" xfId="1502"/>
    <cellStyle name="20% - Accent3 2" xfId="57"/>
    <cellStyle name="20% - Accent3 2 10" xfId="1518"/>
    <cellStyle name="20% - Accent3 2 2" xfId="88"/>
    <cellStyle name="20% - Accent3 2 2 2" xfId="408"/>
    <cellStyle name="20% - Accent3 2 2 2 2" xfId="714"/>
    <cellStyle name="20% - Accent3 2 2 2 2 2" xfId="1330"/>
    <cellStyle name="20% - Accent3 2 2 2 2 2 2" xfId="2791"/>
    <cellStyle name="20% - Accent3 2 2 2 2 3" xfId="2175"/>
    <cellStyle name="20% - Accent3 2 2 2 3" xfId="1024"/>
    <cellStyle name="20% - Accent3 2 2 2 3 2" xfId="2485"/>
    <cellStyle name="20% - Accent3 2 2 2 4" xfId="1869"/>
    <cellStyle name="20% - Accent3 2 2 3" xfId="293"/>
    <cellStyle name="20% - Accent3 2 2 3 2" xfId="1215"/>
    <cellStyle name="20% - Accent3 2 2 3 2 2" xfId="2676"/>
    <cellStyle name="20% - Accent3 2 2 3 3" xfId="1754"/>
    <cellStyle name="20% - Accent3 2 2 4" xfId="599"/>
    <cellStyle name="20% - Accent3 2 2 4 2" xfId="2060"/>
    <cellStyle name="20% - Accent3 2 2 5" xfId="870"/>
    <cellStyle name="20% - Accent3 2 2 5 2" xfId="2331"/>
    <cellStyle name="20% - Accent3 2 2 6" xfId="1549"/>
    <cellStyle name="20% - Accent3 2 3" xfId="120"/>
    <cellStyle name="20% - Accent3 2 3 2" xfId="440"/>
    <cellStyle name="20% - Accent3 2 3 2 2" xfId="746"/>
    <cellStyle name="20% - Accent3 2 3 2 2 2" xfId="1362"/>
    <cellStyle name="20% - Accent3 2 3 2 2 2 2" xfId="2823"/>
    <cellStyle name="20% - Accent3 2 3 2 2 3" xfId="2207"/>
    <cellStyle name="20% - Accent3 2 3 2 3" xfId="1056"/>
    <cellStyle name="20% - Accent3 2 3 2 3 2" xfId="2517"/>
    <cellStyle name="20% - Accent3 2 3 2 4" xfId="1901"/>
    <cellStyle name="20% - Accent3 2 3 3" xfId="313"/>
    <cellStyle name="20% - Accent3 2 3 3 2" xfId="1235"/>
    <cellStyle name="20% - Accent3 2 3 3 2 2" xfId="2696"/>
    <cellStyle name="20% - Accent3 2 3 3 3" xfId="1774"/>
    <cellStyle name="20% - Accent3 2 3 4" xfId="619"/>
    <cellStyle name="20% - Accent3 2 3 4 2" xfId="2080"/>
    <cellStyle name="20% - Accent3 2 3 5" xfId="902"/>
    <cellStyle name="20% - Accent3 2 3 5 2" xfId="2363"/>
    <cellStyle name="20% - Accent3 2 3 6" xfId="1581"/>
    <cellStyle name="20% - Accent3 2 4" xfId="166"/>
    <cellStyle name="20% - Accent3 2 4 2" xfId="486"/>
    <cellStyle name="20% - Accent3 2 4 2 2" xfId="792"/>
    <cellStyle name="20% - Accent3 2 4 2 2 2" xfId="1408"/>
    <cellStyle name="20% - Accent3 2 4 2 2 2 2" xfId="2869"/>
    <cellStyle name="20% - Accent3 2 4 2 2 3" xfId="2253"/>
    <cellStyle name="20% - Accent3 2 4 2 3" xfId="1102"/>
    <cellStyle name="20% - Accent3 2 4 2 3 2" xfId="2563"/>
    <cellStyle name="20% - Accent3 2 4 2 4" xfId="1947"/>
    <cellStyle name="20% - Accent3 2 4 3" xfId="262"/>
    <cellStyle name="20% - Accent3 2 4 3 2" xfId="1184"/>
    <cellStyle name="20% - Accent3 2 4 3 2 2" xfId="2645"/>
    <cellStyle name="20% - Accent3 2 4 3 3" xfId="1723"/>
    <cellStyle name="20% - Accent3 2 4 4" xfId="568"/>
    <cellStyle name="20% - Accent3 2 4 4 2" xfId="2029"/>
    <cellStyle name="20% - Accent3 2 4 5" xfId="948"/>
    <cellStyle name="20% - Accent3 2 4 5 2" xfId="2409"/>
    <cellStyle name="20% - Accent3 2 4 6" xfId="1627"/>
    <cellStyle name="20% - Accent3 2 5" xfId="345"/>
    <cellStyle name="20% - Accent3 2 5 2" xfId="651"/>
    <cellStyle name="20% - Accent3 2 5 2 2" xfId="1267"/>
    <cellStyle name="20% - Accent3 2 5 2 2 2" xfId="2728"/>
    <cellStyle name="20% - Accent3 2 5 2 3" xfId="2112"/>
    <cellStyle name="20% - Accent3 2 5 3" xfId="993"/>
    <cellStyle name="20% - Accent3 2 5 3 2" xfId="2454"/>
    <cellStyle name="20% - Accent3 2 5 4" xfId="1806"/>
    <cellStyle name="20% - Accent3 2 6" xfId="377"/>
    <cellStyle name="20% - Accent3 2 6 2" xfId="683"/>
    <cellStyle name="20% - Accent3 2 6 2 2" xfId="2144"/>
    <cellStyle name="20% - Accent3 2 6 3" xfId="1299"/>
    <cellStyle name="20% - Accent3 2 6 3 2" xfId="2760"/>
    <cellStyle name="20% - Accent3 2 6 4" xfId="1838"/>
    <cellStyle name="20% - Accent3 2 7" xfId="229"/>
    <cellStyle name="20% - Accent3 2 7 2" xfId="1151"/>
    <cellStyle name="20% - Accent3 2 7 2 2" xfId="2612"/>
    <cellStyle name="20% - Accent3 2 7 3" xfId="1690"/>
    <cellStyle name="20% - Accent3 2 8" xfId="535"/>
    <cellStyle name="20% - Accent3 2 8 2" xfId="1996"/>
    <cellStyle name="20% - Accent3 2 9" xfId="839"/>
    <cellStyle name="20% - Accent3 2 9 2" xfId="2300"/>
    <cellStyle name="20% - Accent3 3" xfId="72"/>
    <cellStyle name="20% - Accent3 3 2" xfId="277"/>
    <cellStyle name="20% - Accent3 3 2 2" xfId="583"/>
    <cellStyle name="20% - Accent3 3 2 2 2" xfId="1199"/>
    <cellStyle name="20% - Accent3 3 2 2 2 2" xfId="2660"/>
    <cellStyle name="20% - Accent3 3 2 2 3" xfId="2044"/>
    <cellStyle name="20% - Accent3 3 2 3" xfId="1008"/>
    <cellStyle name="20% - Accent3 3 2 3 2" xfId="2469"/>
    <cellStyle name="20% - Accent3 3 2 4" xfId="1738"/>
    <cellStyle name="20% - Accent3 3 3" xfId="392"/>
    <cellStyle name="20% - Accent3 3 3 2" xfId="698"/>
    <cellStyle name="20% - Accent3 3 3 2 2" xfId="2159"/>
    <cellStyle name="20% - Accent3 3 3 3" xfId="1314"/>
    <cellStyle name="20% - Accent3 3 3 3 2" xfId="2775"/>
    <cellStyle name="20% - Accent3 3 3 4" xfId="1853"/>
    <cellStyle name="20% - Accent3 3 4" xfId="213"/>
    <cellStyle name="20% - Accent3 3 4 2" xfId="1135"/>
    <cellStyle name="20% - Accent3 3 4 2 2" xfId="2596"/>
    <cellStyle name="20% - Accent3 3 4 3" xfId="1674"/>
    <cellStyle name="20% - Accent3 3 5" xfId="519"/>
    <cellStyle name="20% - Accent3 3 5 2" xfId="1980"/>
    <cellStyle name="20% - Accent3 3 6" xfId="854"/>
    <cellStyle name="20% - Accent3 3 6 2" xfId="2315"/>
    <cellStyle name="20% - Accent3 3 7" xfId="1533"/>
    <cellStyle name="20% - Accent3 4" xfId="104"/>
    <cellStyle name="20% - Accent3 4 2" xfId="424"/>
    <cellStyle name="20% - Accent3 4 2 2" xfId="730"/>
    <cellStyle name="20% - Accent3 4 2 2 2" xfId="1346"/>
    <cellStyle name="20% - Accent3 4 2 2 2 2" xfId="2807"/>
    <cellStyle name="20% - Accent3 4 2 2 3" xfId="2191"/>
    <cellStyle name="20% - Accent3 4 2 3" xfId="1040"/>
    <cellStyle name="20% - Accent3 4 2 3 2" xfId="2501"/>
    <cellStyle name="20% - Accent3 4 2 4" xfId="1885"/>
    <cellStyle name="20% - Accent3 4 3" xfId="246"/>
    <cellStyle name="20% - Accent3 4 3 2" xfId="1168"/>
    <cellStyle name="20% - Accent3 4 3 2 2" xfId="2629"/>
    <cellStyle name="20% - Accent3 4 3 3" xfId="1707"/>
    <cellStyle name="20% - Accent3 4 4" xfId="552"/>
    <cellStyle name="20% - Accent3 4 4 2" xfId="2013"/>
    <cellStyle name="20% - Accent3 4 5" xfId="886"/>
    <cellStyle name="20% - Accent3 4 5 2" xfId="2347"/>
    <cellStyle name="20% - Accent3 4 6" xfId="1565"/>
    <cellStyle name="20% - Accent3 5" xfId="135"/>
    <cellStyle name="20% - Accent3 5 2" xfId="455"/>
    <cellStyle name="20% - Accent3 5 2 2" xfId="761"/>
    <cellStyle name="20% - Accent3 5 2 2 2" xfId="1377"/>
    <cellStyle name="20% - Accent3 5 2 2 2 2" xfId="2838"/>
    <cellStyle name="20% - Accent3 5 2 2 3" xfId="2222"/>
    <cellStyle name="20% - Accent3 5 2 3" xfId="1071"/>
    <cellStyle name="20% - Accent3 5 2 3 2" xfId="2532"/>
    <cellStyle name="20% - Accent3 5 2 4" xfId="1916"/>
    <cellStyle name="20% - Accent3 5 3" xfId="329"/>
    <cellStyle name="20% - Accent3 5 3 2" xfId="1251"/>
    <cellStyle name="20% - Accent3 5 3 2 2" xfId="2712"/>
    <cellStyle name="20% - Accent3 5 3 3" xfId="1790"/>
    <cellStyle name="20% - Accent3 5 4" xfId="635"/>
    <cellStyle name="20% - Accent3 5 4 2" xfId="2096"/>
    <cellStyle name="20% - Accent3 5 5" xfId="917"/>
    <cellStyle name="20% - Accent3 5 5 2" xfId="2378"/>
    <cellStyle name="20% - Accent3 5 6" xfId="1596"/>
    <cellStyle name="20% - Accent3 6" xfId="150"/>
    <cellStyle name="20% - Accent3 6 2" xfId="470"/>
    <cellStyle name="20% - Accent3 6 2 2" xfId="1086"/>
    <cellStyle name="20% - Accent3 6 2 2 2" xfId="2547"/>
    <cellStyle name="20% - Accent3 6 2 3" xfId="1931"/>
    <cellStyle name="20% - Accent3 6 3" xfId="776"/>
    <cellStyle name="20% - Accent3 6 3 2" xfId="1392"/>
    <cellStyle name="20% - Accent3 6 3 2 2" xfId="2853"/>
    <cellStyle name="20% - Accent3 6 3 3" xfId="2237"/>
    <cellStyle name="20% - Accent3 6 4" xfId="932"/>
    <cellStyle name="20% - Accent3 6 4 2" xfId="2393"/>
    <cellStyle name="20% - Accent3 6 5" xfId="1611"/>
    <cellStyle name="20% - Accent3 7" xfId="181"/>
    <cellStyle name="20% - Accent3 7 2" xfId="361"/>
    <cellStyle name="20% - Accent3 7 2 2" xfId="1283"/>
    <cellStyle name="20% - Accent3 7 2 2 2" xfId="2744"/>
    <cellStyle name="20% - Accent3 7 2 3" xfId="1822"/>
    <cellStyle name="20% - Accent3 7 3" xfId="667"/>
    <cellStyle name="20% - Accent3 7 3 2" xfId="2128"/>
    <cellStyle name="20% - Accent3 7 4" xfId="963"/>
    <cellStyle name="20% - Accent3 7 4 2" xfId="2424"/>
    <cellStyle name="20% - Accent3 7 5" xfId="1642"/>
    <cellStyle name="20% - Accent3 8" xfId="196"/>
    <cellStyle name="20% - Accent3 8 2" xfId="807"/>
    <cellStyle name="20% - Accent3 8 2 2" xfId="1423"/>
    <cellStyle name="20% - Accent3 8 2 2 2" xfId="2884"/>
    <cellStyle name="20% - Accent3 8 2 3" xfId="2268"/>
    <cellStyle name="20% - Accent3 8 3" xfId="981"/>
    <cellStyle name="20% - Accent3 8 3 2" xfId="2442"/>
    <cellStyle name="20% - Accent3 8 4" xfId="1657"/>
    <cellStyle name="20% - Accent3 9" xfId="502"/>
    <cellStyle name="20% - Accent3 9 2" xfId="1118"/>
    <cellStyle name="20% - Accent3 9 2 2" xfId="2579"/>
    <cellStyle name="20% - Accent3 9 3" xfId="1963"/>
    <cellStyle name="20% - Accent4" xfId="38" builtinId="42" customBuiltin="1"/>
    <cellStyle name="20% - Accent4 10" xfId="825"/>
    <cellStyle name="20% - Accent4 10 2" xfId="2286"/>
    <cellStyle name="20% - Accent4 11" xfId="1504"/>
    <cellStyle name="20% - Accent4 2" xfId="59"/>
    <cellStyle name="20% - Accent4 2 10" xfId="1520"/>
    <cellStyle name="20% - Accent4 2 2" xfId="90"/>
    <cellStyle name="20% - Accent4 2 2 2" xfId="410"/>
    <cellStyle name="20% - Accent4 2 2 2 2" xfId="716"/>
    <cellStyle name="20% - Accent4 2 2 2 2 2" xfId="1332"/>
    <cellStyle name="20% - Accent4 2 2 2 2 2 2" xfId="2793"/>
    <cellStyle name="20% - Accent4 2 2 2 2 3" xfId="2177"/>
    <cellStyle name="20% - Accent4 2 2 2 3" xfId="1026"/>
    <cellStyle name="20% - Accent4 2 2 2 3 2" xfId="2487"/>
    <cellStyle name="20% - Accent4 2 2 2 4" xfId="1871"/>
    <cellStyle name="20% - Accent4 2 2 3" xfId="295"/>
    <cellStyle name="20% - Accent4 2 2 3 2" xfId="1217"/>
    <cellStyle name="20% - Accent4 2 2 3 2 2" xfId="2678"/>
    <cellStyle name="20% - Accent4 2 2 3 3" xfId="1756"/>
    <cellStyle name="20% - Accent4 2 2 4" xfId="601"/>
    <cellStyle name="20% - Accent4 2 2 4 2" xfId="2062"/>
    <cellStyle name="20% - Accent4 2 2 5" xfId="872"/>
    <cellStyle name="20% - Accent4 2 2 5 2" xfId="2333"/>
    <cellStyle name="20% - Accent4 2 2 6" xfId="1551"/>
    <cellStyle name="20% - Accent4 2 3" xfId="122"/>
    <cellStyle name="20% - Accent4 2 3 2" xfId="442"/>
    <cellStyle name="20% - Accent4 2 3 2 2" xfId="748"/>
    <cellStyle name="20% - Accent4 2 3 2 2 2" xfId="1364"/>
    <cellStyle name="20% - Accent4 2 3 2 2 2 2" xfId="2825"/>
    <cellStyle name="20% - Accent4 2 3 2 2 3" xfId="2209"/>
    <cellStyle name="20% - Accent4 2 3 2 3" xfId="1058"/>
    <cellStyle name="20% - Accent4 2 3 2 3 2" xfId="2519"/>
    <cellStyle name="20% - Accent4 2 3 2 4" xfId="1903"/>
    <cellStyle name="20% - Accent4 2 3 3" xfId="315"/>
    <cellStyle name="20% - Accent4 2 3 3 2" xfId="1237"/>
    <cellStyle name="20% - Accent4 2 3 3 2 2" xfId="2698"/>
    <cellStyle name="20% - Accent4 2 3 3 3" xfId="1776"/>
    <cellStyle name="20% - Accent4 2 3 4" xfId="621"/>
    <cellStyle name="20% - Accent4 2 3 4 2" xfId="2082"/>
    <cellStyle name="20% - Accent4 2 3 5" xfId="904"/>
    <cellStyle name="20% - Accent4 2 3 5 2" xfId="2365"/>
    <cellStyle name="20% - Accent4 2 3 6" xfId="1583"/>
    <cellStyle name="20% - Accent4 2 4" xfId="168"/>
    <cellStyle name="20% - Accent4 2 4 2" xfId="488"/>
    <cellStyle name="20% - Accent4 2 4 2 2" xfId="794"/>
    <cellStyle name="20% - Accent4 2 4 2 2 2" xfId="1410"/>
    <cellStyle name="20% - Accent4 2 4 2 2 2 2" xfId="2871"/>
    <cellStyle name="20% - Accent4 2 4 2 2 3" xfId="2255"/>
    <cellStyle name="20% - Accent4 2 4 2 3" xfId="1104"/>
    <cellStyle name="20% - Accent4 2 4 2 3 2" xfId="2565"/>
    <cellStyle name="20% - Accent4 2 4 2 4" xfId="1949"/>
    <cellStyle name="20% - Accent4 2 4 3" xfId="264"/>
    <cellStyle name="20% - Accent4 2 4 3 2" xfId="1186"/>
    <cellStyle name="20% - Accent4 2 4 3 2 2" xfId="2647"/>
    <cellStyle name="20% - Accent4 2 4 3 3" xfId="1725"/>
    <cellStyle name="20% - Accent4 2 4 4" xfId="570"/>
    <cellStyle name="20% - Accent4 2 4 4 2" xfId="2031"/>
    <cellStyle name="20% - Accent4 2 4 5" xfId="950"/>
    <cellStyle name="20% - Accent4 2 4 5 2" xfId="2411"/>
    <cellStyle name="20% - Accent4 2 4 6" xfId="1629"/>
    <cellStyle name="20% - Accent4 2 5" xfId="347"/>
    <cellStyle name="20% - Accent4 2 5 2" xfId="653"/>
    <cellStyle name="20% - Accent4 2 5 2 2" xfId="1269"/>
    <cellStyle name="20% - Accent4 2 5 2 2 2" xfId="2730"/>
    <cellStyle name="20% - Accent4 2 5 2 3" xfId="2114"/>
    <cellStyle name="20% - Accent4 2 5 3" xfId="995"/>
    <cellStyle name="20% - Accent4 2 5 3 2" xfId="2456"/>
    <cellStyle name="20% - Accent4 2 5 4" xfId="1808"/>
    <cellStyle name="20% - Accent4 2 6" xfId="379"/>
    <cellStyle name="20% - Accent4 2 6 2" xfId="685"/>
    <cellStyle name="20% - Accent4 2 6 2 2" xfId="2146"/>
    <cellStyle name="20% - Accent4 2 6 3" xfId="1301"/>
    <cellStyle name="20% - Accent4 2 6 3 2" xfId="2762"/>
    <cellStyle name="20% - Accent4 2 6 4" xfId="1840"/>
    <cellStyle name="20% - Accent4 2 7" xfId="231"/>
    <cellStyle name="20% - Accent4 2 7 2" xfId="1153"/>
    <cellStyle name="20% - Accent4 2 7 2 2" xfId="2614"/>
    <cellStyle name="20% - Accent4 2 7 3" xfId="1692"/>
    <cellStyle name="20% - Accent4 2 8" xfId="537"/>
    <cellStyle name="20% - Accent4 2 8 2" xfId="1998"/>
    <cellStyle name="20% - Accent4 2 9" xfId="841"/>
    <cellStyle name="20% - Accent4 2 9 2" xfId="2302"/>
    <cellStyle name="20% - Accent4 3" xfId="74"/>
    <cellStyle name="20% - Accent4 3 2" xfId="279"/>
    <cellStyle name="20% - Accent4 3 2 2" xfId="585"/>
    <cellStyle name="20% - Accent4 3 2 2 2" xfId="1201"/>
    <cellStyle name="20% - Accent4 3 2 2 2 2" xfId="2662"/>
    <cellStyle name="20% - Accent4 3 2 2 3" xfId="2046"/>
    <cellStyle name="20% - Accent4 3 2 3" xfId="1010"/>
    <cellStyle name="20% - Accent4 3 2 3 2" xfId="2471"/>
    <cellStyle name="20% - Accent4 3 2 4" xfId="1740"/>
    <cellStyle name="20% - Accent4 3 3" xfId="394"/>
    <cellStyle name="20% - Accent4 3 3 2" xfId="700"/>
    <cellStyle name="20% - Accent4 3 3 2 2" xfId="2161"/>
    <cellStyle name="20% - Accent4 3 3 3" xfId="1316"/>
    <cellStyle name="20% - Accent4 3 3 3 2" xfId="2777"/>
    <cellStyle name="20% - Accent4 3 3 4" xfId="1855"/>
    <cellStyle name="20% - Accent4 3 4" xfId="215"/>
    <cellStyle name="20% - Accent4 3 4 2" xfId="1137"/>
    <cellStyle name="20% - Accent4 3 4 2 2" xfId="2598"/>
    <cellStyle name="20% - Accent4 3 4 3" xfId="1676"/>
    <cellStyle name="20% - Accent4 3 5" xfId="521"/>
    <cellStyle name="20% - Accent4 3 5 2" xfId="1982"/>
    <cellStyle name="20% - Accent4 3 6" xfId="856"/>
    <cellStyle name="20% - Accent4 3 6 2" xfId="2317"/>
    <cellStyle name="20% - Accent4 3 7" xfId="1535"/>
    <cellStyle name="20% - Accent4 4" xfId="106"/>
    <cellStyle name="20% - Accent4 4 2" xfId="426"/>
    <cellStyle name="20% - Accent4 4 2 2" xfId="732"/>
    <cellStyle name="20% - Accent4 4 2 2 2" xfId="1348"/>
    <cellStyle name="20% - Accent4 4 2 2 2 2" xfId="2809"/>
    <cellStyle name="20% - Accent4 4 2 2 3" xfId="2193"/>
    <cellStyle name="20% - Accent4 4 2 3" xfId="1042"/>
    <cellStyle name="20% - Accent4 4 2 3 2" xfId="2503"/>
    <cellStyle name="20% - Accent4 4 2 4" xfId="1887"/>
    <cellStyle name="20% - Accent4 4 3" xfId="248"/>
    <cellStyle name="20% - Accent4 4 3 2" xfId="1170"/>
    <cellStyle name="20% - Accent4 4 3 2 2" xfId="2631"/>
    <cellStyle name="20% - Accent4 4 3 3" xfId="1709"/>
    <cellStyle name="20% - Accent4 4 4" xfId="554"/>
    <cellStyle name="20% - Accent4 4 4 2" xfId="2015"/>
    <cellStyle name="20% - Accent4 4 5" xfId="888"/>
    <cellStyle name="20% - Accent4 4 5 2" xfId="2349"/>
    <cellStyle name="20% - Accent4 4 6" xfId="1567"/>
    <cellStyle name="20% - Accent4 5" xfId="137"/>
    <cellStyle name="20% - Accent4 5 2" xfId="457"/>
    <cellStyle name="20% - Accent4 5 2 2" xfId="763"/>
    <cellStyle name="20% - Accent4 5 2 2 2" xfId="1379"/>
    <cellStyle name="20% - Accent4 5 2 2 2 2" xfId="2840"/>
    <cellStyle name="20% - Accent4 5 2 2 3" xfId="2224"/>
    <cellStyle name="20% - Accent4 5 2 3" xfId="1073"/>
    <cellStyle name="20% - Accent4 5 2 3 2" xfId="2534"/>
    <cellStyle name="20% - Accent4 5 2 4" xfId="1918"/>
    <cellStyle name="20% - Accent4 5 3" xfId="331"/>
    <cellStyle name="20% - Accent4 5 3 2" xfId="1253"/>
    <cellStyle name="20% - Accent4 5 3 2 2" xfId="2714"/>
    <cellStyle name="20% - Accent4 5 3 3" xfId="1792"/>
    <cellStyle name="20% - Accent4 5 4" xfId="637"/>
    <cellStyle name="20% - Accent4 5 4 2" xfId="2098"/>
    <cellStyle name="20% - Accent4 5 5" xfId="919"/>
    <cellStyle name="20% - Accent4 5 5 2" xfId="2380"/>
    <cellStyle name="20% - Accent4 5 6" xfId="1598"/>
    <cellStyle name="20% - Accent4 6" xfId="152"/>
    <cellStyle name="20% - Accent4 6 2" xfId="472"/>
    <cellStyle name="20% - Accent4 6 2 2" xfId="1088"/>
    <cellStyle name="20% - Accent4 6 2 2 2" xfId="2549"/>
    <cellStyle name="20% - Accent4 6 2 3" xfId="1933"/>
    <cellStyle name="20% - Accent4 6 3" xfId="778"/>
    <cellStyle name="20% - Accent4 6 3 2" xfId="1394"/>
    <cellStyle name="20% - Accent4 6 3 2 2" xfId="2855"/>
    <cellStyle name="20% - Accent4 6 3 3" xfId="2239"/>
    <cellStyle name="20% - Accent4 6 4" xfId="934"/>
    <cellStyle name="20% - Accent4 6 4 2" xfId="2395"/>
    <cellStyle name="20% - Accent4 6 5" xfId="1613"/>
    <cellStyle name="20% - Accent4 7" xfId="183"/>
    <cellStyle name="20% - Accent4 7 2" xfId="363"/>
    <cellStyle name="20% - Accent4 7 2 2" xfId="1285"/>
    <cellStyle name="20% - Accent4 7 2 2 2" xfId="2746"/>
    <cellStyle name="20% - Accent4 7 2 3" xfId="1824"/>
    <cellStyle name="20% - Accent4 7 3" xfId="669"/>
    <cellStyle name="20% - Accent4 7 3 2" xfId="2130"/>
    <cellStyle name="20% - Accent4 7 4" xfId="965"/>
    <cellStyle name="20% - Accent4 7 4 2" xfId="2426"/>
    <cellStyle name="20% - Accent4 7 5" xfId="1644"/>
    <cellStyle name="20% - Accent4 8" xfId="198"/>
    <cellStyle name="20% - Accent4 8 2" xfId="809"/>
    <cellStyle name="20% - Accent4 8 2 2" xfId="1425"/>
    <cellStyle name="20% - Accent4 8 2 2 2" xfId="2886"/>
    <cellStyle name="20% - Accent4 8 2 3" xfId="2270"/>
    <cellStyle name="20% - Accent4 8 3" xfId="972"/>
    <cellStyle name="20% - Accent4 8 3 2" xfId="2433"/>
    <cellStyle name="20% - Accent4 8 4" xfId="1659"/>
    <cellStyle name="20% - Accent4 9" xfId="504"/>
    <cellStyle name="20% - Accent4 9 2" xfId="1120"/>
    <cellStyle name="20% - Accent4 9 2 2" xfId="2581"/>
    <cellStyle name="20% - Accent4 9 3" xfId="1965"/>
    <cellStyle name="20% - Accent5" xfId="42" builtinId="46" customBuiltin="1"/>
    <cellStyle name="20% - Accent5 10" xfId="827"/>
    <cellStyle name="20% - Accent5 10 2" xfId="2288"/>
    <cellStyle name="20% - Accent5 11" xfId="1506"/>
    <cellStyle name="20% - Accent5 2" xfId="61"/>
    <cellStyle name="20% - Accent5 2 10" xfId="1522"/>
    <cellStyle name="20% - Accent5 2 2" xfId="92"/>
    <cellStyle name="20% - Accent5 2 2 2" xfId="412"/>
    <cellStyle name="20% - Accent5 2 2 2 2" xfId="718"/>
    <cellStyle name="20% - Accent5 2 2 2 2 2" xfId="1334"/>
    <cellStyle name="20% - Accent5 2 2 2 2 2 2" xfId="2795"/>
    <cellStyle name="20% - Accent5 2 2 2 2 3" xfId="2179"/>
    <cellStyle name="20% - Accent5 2 2 2 3" xfId="1028"/>
    <cellStyle name="20% - Accent5 2 2 2 3 2" xfId="2489"/>
    <cellStyle name="20% - Accent5 2 2 2 4" xfId="1873"/>
    <cellStyle name="20% - Accent5 2 2 3" xfId="297"/>
    <cellStyle name="20% - Accent5 2 2 3 2" xfId="1219"/>
    <cellStyle name="20% - Accent5 2 2 3 2 2" xfId="2680"/>
    <cellStyle name="20% - Accent5 2 2 3 3" xfId="1758"/>
    <cellStyle name="20% - Accent5 2 2 4" xfId="603"/>
    <cellStyle name="20% - Accent5 2 2 4 2" xfId="2064"/>
    <cellStyle name="20% - Accent5 2 2 5" xfId="874"/>
    <cellStyle name="20% - Accent5 2 2 5 2" xfId="2335"/>
    <cellStyle name="20% - Accent5 2 2 6" xfId="1553"/>
    <cellStyle name="20% - Accent5 2 3" xfId="124"/>
    <cellStyle name="20% - Accent5 2 3 2" xfId="444"/>
    <cellStyle name="20% - Accent5 2 3 2 2" xfId="750"/>
    <cellStyle name="20% - Accent5 2 3 2 2 2" xfId="1366"/>
    <cellStyle name="20% - Accent5 2 3 2 2 2 2" xfId="2827"/>
    <cellStyle name="20% - Accent5 2 3 2 2 3" xfId="2211"/>
    <cellStyle name="20% - Accent5 2 3 2 3" xfId="1060"/>
    <cellStyle name="20% - Accent5 2 3 2 3 2" xfId="2521"/>
    <cellStyle name="20% - Accent5 2 3 2 4" xfId="1905"/>
    <cellStyle name="20% - Accent5 2 3 3" xfId="317"/>
    <cellStyle name="20% - Accent5 2 3 3 2" xfId="1239"/>
    <cellStyle name="20% - Accent5 2 3 3 2 2" xfId="2700"/>
    <cellStyle name="20% - Accent5 2 3 3 3" xfId="1778"/>
    <cellStyle name="20% - Accent5 2 3 4" xfId="623"/>
    <cellStyle name="20% - Accent5 2 3 4 2" xfId="2084"/>
    <cellStyle name="20% - Accent5 2 3 5" xfId="906"/>
    <cellStyle name="20% - Accent5 2 3 5 2" xfId="2367"/>
    <cellStyle name="20% - Accent5 2 3 6" xfId="1585"/>
    <cellStyle name="20% - Accent5 2 4" xfId="170"/>
    <cellStyle name="20% - Accent5 2 4 2" xfId="490"/>
    <cellStyle name="20% - Accent5 2 4 2 2" xfId="796"/>
    <cellStyle name="20% - Accent5 2 4 2 2 2" xfId="1412"/>
    <cellStyle name="20% - Accent5 2 4 2 2 2 2" xfId="2873"/>
    <cellStyle name="20% - Accent5 2 4 2 2 3" xfId="2257"/>
    <cellStyle name="20% - Accent5 2 4 2 3" xfId="1106"/>
    <cellStyle name="20% - Accent5 2 4 2 3 2" xfId="2567"/>
    <cellStyle name="20% - Accent5 2 4 2 4" xfId="1951"/>
    <cellStyle name="20% - Accent5 2 4 3" xfId="266"/>
    <cellStyle name="20% - Accent5 2 4 3 2" xfId="1188"/>
    <cellStyle name="20% - Accent5 2 4 3 2 2" xfId="2649"/>
    <cellStyle name="20% - Accent5 2 4 3 3" xfId="1727"/>
    <cellStyle name="20% - Accent5 2 4 4" xfId="572"/>
    <cellStyle name="20% - Accent5 2 4 4 2" xfId="2033"/>
    <cellStyle name="20% - Accent5 2 4 5" xfId="952"/>
    <cellStyle name="20% - Accent5 2 4 5 2" xfId="2413"/>
    <cellStyle name="20% - Accent5 2 4 6" xfId="1631"/>
    <cellStyle name="20% - Accent5 2 5" xfId="349"/>
    <cellStyle name="20% - Accent5 2 5 2" xfId="655"/>
    <cellStyle name="20% - Accent5 2 5 2 2" xfId="1271"/>
    <cellStyle name="20% - Accent5 2 5 2 2 2" xfId="2732"/>
    <cellStyle name="20% - Accent5 2 5 2 3" xfId="2116"/>
    <cellStyle name="20% - Accent5 2 5 3" xfId="997"/>
    <cellStyle name="20% - Accent5 2 5 3 2" xfId="2458"/>
    <cellStyle name="20% - Accent5 2 5 4" xfId="1810"/>
    <cellStyle name="20% - Accent5 2 6" xfId="381"/>
    <cellStyle name="20% - Accent5 2 6 2" xfId="687"/>
    <cellStyle name="20% - Accent5 2 6 2 2" xfId="2148"/>
    <cellStyle name="20% - Accent5 2 6 3" xfId="1303"/>
    <cellStyle name="20% - Accent5 2 6 3 2" xfId="2764"/>
    <cellStyle name="20% - Accent5 2 6 4" xfId="1842"/>
    <cellStyle name="20% - Accent5 2 7" xfId="233"/>
    <cellStyle name="20% - Accent5 2 7 2" xfId="1155"/>
    <cellStyle name="20% - Accent5 2 7 2 2" xfId="2616"/>
    <cellStyle name="20% - Accent5 2 7 3" xfId="1694"/>
    <cellStyle name="20% - Accent5 2 8" xfId="539"/>
    <cellStyle name="20% - Accent5 2 8 2" xfId="2000"/>
    <cellStyle name="20% - Accent5 2 9" xfId="843"/>
    <cellStyle name="20% - Accent5 2 9 2" xfId="2304"/>
    <cellStyle name="20% - Accent5 3" xfId="76"/>
    <cellStyle name="20% - Accent5 3 2" xfId="281"/>
    <cellStyle name="20% - Accent5 3 2 2" xfId="587"/>
    <cellStyle name="20% - Accent5 3 2 2 2" xfId="1203"/>
    <cellStyle name="20% - Accent5 3 2 2 2 2" xfId="2664"/>
    <cellStyle name="20% - Accent5 3 2 2 3" xfId="2048"/>
    <cellStyle name="20% - Accent5 3 2 3" xfId="1012"/>
    <cellStyle name="20% - Accent5 3 2 3 2" xfId="2473"/>
    <cellStyle name="20% - Accent5 3 2 4" xfId="1742"/>
    <cellStyle name="20% - Accent5 3 3" xfId="396"/>
    <cellStyle name="20% - Accent5 3 3 2" xfId="702"/>
    <cellStyle name="20% - Accent5 3 3 2 2" xfId="2163"/>
    <cellStyle name="20% - Accent5 3 3 3" xfId="1318"/>
    <cellStyle name="20% - Accent5 3 3 3 2" xfId="2779"/>
    <cellStyle name="20% - Accent5 3 3 4" xfId="1857"/>
    <cellStyle name="20% - Accent5 3 4" xfId="217"/>
    <cellStyle name="20% - Accent5 3 4 2" xfId="1139"/>
    <cellStyle name="20% - Accent5 3 4 2 2" xfId="2600"/>
    <cellStyle name="20% - Accent5 3 4 3" xfId="1678"/>
    <cellStyle name="20% - Accent5 3 5" xfId="523"/>
    <cellStyle name="20% - Accent5 3 5 2" xfId="1984"/>
    <cellStyle name="20% - Accent5 3 6" xfId="858"/>
    <cellStyle name="20% - Accent5 3 6 2" xfId="2319"/>
    <cellStyle name="20% - Accent5 3 7" xfId="1537"/>
    <cellStyle name="20% - Accent5 4" xfId="108"/>
    <cellStyle name="20% - Accent5 4 2" xfId="428"/>
    <cellStyle name="20% - Accent5 4 2 2" xfId="734"/>
    <cellStyle name="20% - Accent5 4 2 2 2" xfId="1350"/>
    <cellStyle name="20% - Accent5 4 2 2 2 2" xfId="2811"/>
    <cellStyle name="20% - Accent5 4 2 2 3" xfId="2195"/>
    <cellStyle name="20% - Accent5 4 2 3" xfId="1044"/>
    <cellStyle name="20% - Accent5 4 2 3 2" xfId="2505"/>
    <cellStyle name="20% - Accent5 4 2 4" xfId="1889"/>
    <cellStyle name="20% - Accent5 4 3" xfId="250"/>
    <cellStyle name="20% - Accent5 4 3 2" xfId="1172"/>
    <cellStyle name="20% - Accent5 4 3 2 2" xfId="2633"/>
    <cellStyle name="20% - Accent5 4 3 3" xfId="1711"/>
    <cellStyle name="20% - Accent5 4 4" xfId="556"/>
    <cellStyle name="20% - Accent5 4 4 2" xfId="2017"/>
    <cellStyle name="20% - Accent5 4 5" xfId="890"/>
    <cellStyle name="20% - Accent5 4 5 2" xfId="2351"/>
    <cellStyle name="20% - Accent5 4 6" xfId="1569"/>
    <cellStyle name="20% - Accent5 5" xfId="139"/>
    <cellStyle name="20% - Accent5 5 2" xfId="459"/>
    <cellStyle name="20% - Accent5 5 2 2" xfId="765"/>
    <cellStyle name="20% - Accent5 5 2 2 2" xfId="1381"/>
    <cellStyle name="20% - Accent5 5 2 2 2 2" xfId="2842"/>
    <cellStyle name="20% - Accent5 5 2 2 3" xfId="2226"/>
    <cellStyle name="20% - Accent5 5 2 3" xfId="1075"/>
    <cellStyle name="20% - Accent5 5 2 3 2" xfId="2536"/>
    <cellStyle name="20% - Accent5 5 2 4" xfId="1920"/>
    <cellStyle name="20% - Accent5 5 3" xfId="333"/>
    <cellStyle name="20% - Accent5 5 3 2" xfId="1255"/>
    <cellStyle name="20% - Accent5 5 3 2 2" xfId="2716"/>
    <cellStyle name="20% - Accent5 5 3 3" xfId="1794"/>
    <cellStyle name="20% - Accent5 5 4" xfId="639"/>
    <cellStyle name="20% - Accent5 5 4 2" xfId="2100"/>
    <cellStyle name="20% - Accent5 5 5" xfId="921"/>
    <cellStyle name="20% - Accent5 5 5 2" xfId="2382"/>
    <cellStyle name="20% - Accent5 5 6" xfId="1600"/>
    <cellStyle name="20% - Accent5 6" xfId="154"/>
    <cellStyle name="20% - Accent5 6 2" xfId="474"/>
    <cellStyle name="20% - Accent5 6 2 2" xfId="1090"/>
    <cellStyle name="20% - Accent5 6 2 2 2" xfId="2551"/>
    <cellStyle name="20% - Accent5 6 2 3" xfId="1935"/>
    <cellStyle name="20% - Accent5 6 3" xfId="780"/>
    <cellStyle name="20% - Accent5 6 3 2" xfId="1396"/>
    <cellStyle name="20% - Accent5 6 3 2 2" xfId="2857"/>
    <cellStyle name="20% - Accent5 6 3 3" xfId="2241"/>
    <cellStyle name="20% - Accent5 6 4" xfId="936"/>
    <cellStyle name="20% - Accent5 6 4 2" xfId="2397"/>
    <cellStyle name="20% - Accent5 6 5" xfId="1615"/>
    <cellStyle name="20% - Accent5 7" xfId="185"/>
    <cellStyle name="20% - Accent5 7 2" xfId="365"/>
    <cellStyle name="20% - Accent5 7 2 2" xfId="1287"/>
    <cellStyle name="20% - Accent5 7 2 2 2" xfId="2748"/>
    <cellStyle name="20% - Accent5 7 2 3" xfId="1826"/>
    <cellStyle name="20% - Accent5 7 3" xfId="671"/>
    <cellStyle name="20% - Accent5 7 3 2" xfId="2132"/>
    <cellStyle name="20% - Accent5 7 4" xfId="967"/>
    <cellStyle name="20% - Accent5 7 4 2" xfId="2428"/>
    <cellStyle name="20% - Accent5 7 5" xfId="1646"/>
    <cellStyle name="20% - Accent5 8" xfId="200"/>
    <cellStyle name="20% - Accent5 8 2" xfId="811"/>
    <cellStyle name="20% - Accent5 8 2 2" xfId="1427"/>
    <cellStyle name="20% - Accent5 8 2 2 2" xfId="2888"/>
    <cellStyle name="20% - Accent5 8 2 3" xfId="2272"/>
    <cellStyle name="20% - Accent5 8 3" xfId="982"/>
    <cellStyle name="20% - Accent5 8 3 2" xfId="2443"/>
    <cellStyle name="20% - Accent5 8 4" xfId="1661"/>
    <cellStyle name="20% - Accent5 9" xfId="506"/>
    <cellStyle name="20% - Accent5 9 2" xfId="1122"/>
    <cellStyle name="20% - Accent5 9 2 2" xfId="2583"/>
    <cellStyle name="20% - Accent5 9 3" xfId="1967"/>
    <cellStyle name="20% - Accent6" xfId="46" builtinId="50" customBuiltin="1"/>
    <cellStyle name="20% - Accent6 10" xfId="829"/>
    <cellStyle name="20% - Accent6 10 2" xfId="2290"/>
    <cellStyle name="20% - Accent6 11" xfId="1508"/>
    <cellStyle name="20% - Accent6 2" xfId="63"/>
    <cellStyle name="20% - Accent6 2 10" xfId="1524"/>
    <cellStyle name="20% - Accent6 2 2" xfId="94"/>
    <cellStyle name="20% - Accent6 2 2 2" xfId="414"/>
    <cellStyle name="20% - Accent6 2 2 2 2" xfId="720"/>
    <cellStyle name="20% - Accent6 2 2 2 2 2" xfId="1336"/>
    <cellStyle name="20% - Accent6 2 2 2 2 2 2" xfId="2797"/>
    <cellStyle name="20% - Accent6 2 2 2 2 3" xfId="2181"/>
    <cellStyle name="20% - Accent6 2 2 2 3" xfId="1030"/>
    <cellStyle name="20% - Accent6 2 2 2 3 2" xfId="2491"/>
    <cellStyle name="20% - Accent6 2 2 2 4" xfId="1875"/>
    <cellStyle name="20% - Accent6 2 2 3" xfId="299"/>
    <cellStyle name="20% - Accent6 2 2 3 2" xfId="1221"/>
    <cellStyle name="20% - Accent6 2 2 3 2 2" xfId="2682"/>
    <cellStyle name="20% - Accent6 2 2 3 3" xfId="1760"/>
    <cellStyle name="20% - Accent6 2 2 4" xfId="605"/>
    <cellStyle name="20% - Accent6 2 2 4 2" xfId="2066"/>
    <cellStyle name="20% - Accent6 2 2 5" xfId="876"/>
    <cellStyle name="20% - Accent6 2 2 5 2" xfId="2337"/>
    <cellStyle name="20% - Accent6 2 2 6" xfId="1555"/>
    <cellStyle name="20% - Accent6 2 3" xfId="126"/>
    <cellStyle name="20% - Accent6 2 3 2" xfId="446"/>
    <cellStyle name="20% - Accent6 2 3 2 2" xfId="752"/>
    <cellStyle name="20% - Accent6 2 3 2 2 2" xfId="1368"/>
    <cellStyle name="20% - Accent6 2 3 2 2 2 2" xfId="2829"/>
    <cellStyle name="20% - Accent6 2 3 2 2 3" xfId="2213"/>
    <cellStyle name="20% - Accent6 2 3 2 3" xfId="1062"/>
    <cellStyle name="20% - Accent6 2 3 2 3 2" xfId="2523"/>
    <cellStyle name="20% - Accent6 2 3 2 4" xfId="1907"/>
    <cellStyle name="20% - Accent6 2 3 3" xfId="319"/>
    <cellStyle name="20% - Accent6 2 3 3 2" xfId="1241"/>
    <cellStyle name="20% - Accent6 2 3 3 2 2" xfId="2702"/>
    <cellStyle name="20% - Accent6 2 3 3 3" xfId="1780"/>
    <cellStyle name="20% - Accent6 2 3 4" xfId="625"/>
    <cellStyle name="20% - Accent6 2 3 4 2" xfId="2086"/>
    <cellStyle name="20% - Accent6 2 3 5" xfId="908"/>
    <cellStyle name="20% - Accent6 2 3 5 2" xfId="2369"/>
    <cellStyle name="20% - Accent6 2 3 6" xfId="1587"/>
    <cellStyle name="20% - Accent6 2 4" xfId="172"/>
    <cellStyle name="20% - Accent6 2 4 2" xfId="492"/>
    <cellStyle name="20% - Accent6 2 4 2 2" xfId="798"/>
    <cellStyle name="20% - Accent6 2 4 2 2 2" xfId="1414"/>
    <cellStyle name="20% - Accent6 2 4 2 2 2 2" xfId="2875"/>
    <cellStyle name="20% - Accent6 2 4 2 2 3" xfId="2259"/>
    <cellStyle name="20% - Accent6 2 4 2 3" xfId="1108"/>
    <cellStyle name="20% - Accent6 2 4 2 3 2" xfId="2569"/>
    <cellStyle name="20% - Accent6 2 4 2 4" xfId="1953"/>
    <cellStyle name="20% - Accent6 2 4 3" xfId="268"/>
    <cellStyle name="20% - Accent6 2 4 3 2" xfId="1190"/>
    <cellStyle name="20% - Accent6 2 4 3 2 2" xfId="2651"/>
    <cellStyle name="20% - Accent6 2 4 3 3" xfId="1729"/>
    <cellStyle name="20% - Accent6 2 4 4" xfId="574"/>
    <cellStyle name="20% - Accent6 2 4 4 2" xfId="2035"/>
    <cellStyle name="20% - Accent6 2 4 5" xfId="954"/>
    <cellStyle name="20% - Accent6 2 4 5 2" xfId="2415"/>
    <cellStyle name="20% - Accent6 2 4 6" xfId="1633"/>
    <cellStyle name="20% - Accent6 2 5" xfId="351"/>
    <cellStyle name="20% - Accent6 2 5 2" xfId="657"/>
    <cellStyle name="20% - Accent6 2 5 2 2" xfId="1273"/>
    <cellStyle name="20% - Accent6 2 5 2 2 2" xfId="2734"/>
    <cellStyle name="20% - Accent6 2 5 2 3" xfId="2118"/>
    <cellStyle name="20% - Accent6 2 5 3" xfId="999"/>
    <cellStyle name="20% - Accent6 2 5 3 2" xfId="2460"/>
    <cellStyle name="20% - Accent6 2 5 4" xfId="1812"/>
    <cellStyle name="20% - Accent6 2 6" xfId="383"/>
    <cellStyle name="20% - Accent6 2 6 2" xfId="689"/>
    <cellStyle name="20% - Accent6 2 6 2 2" xfId="2150"/>
    <cellStyle name="20% - Accent6 2 6 3" xfId="1305"/>
    <cellStyle name="20% - Accent6 2 6 3 2" xfId="2766"/>
    <cellStyle name="20% - Accent6 2 6 4" xfId="1844"/>
    <cellStyle name="20% - Accent6 2 7" xfId="235"/>
    <cellStyle name="20% - Accent6 2 7 2" xfId="1157"/>
    <cellStyle name="20% - Accent6 2 7 2 2" xfId="2618"/>
    <cellStyle name="20% - Accent6 2 7 3" xfId="1696"/>
    <cellStyle name="20% - Accent6 2 8" xfId="541"/>
    <cellStyle name="20% - Accent6 2 8 2" xfId="2002"/>
    <cellStyle name="20% - Accent6 2 9" xfId="845"/>
    <cellStyle name="20% - Accent6 2 9 2" xfId="2306"/>
    <cellStyle name="20% - Accent6 3" xfId="78"/>
    <cellStyle name="20% - Accent6 3 2" xfId="283"/>
    <cellStyle name="20% - Accent6 3 2 2" xfId="589"/>
    <cellStyle name="20% - Accent6 3 2 2 2" xfId="1205"/>
    <cellStyle name="20% - Accent6 3 2 2 2 2" xfId="2666"/>
    <cellStyle name="20% - Accent6 3 2 2 3" xfId="2050"/>
    <cellStyle name="20% - Accent6 3 2 3" xfId="1014"/>
    <cellStyle name="20% - Accent6 3 2 3 2" xfId="2475"/>
    <cellStyle name="20% - Accent6 3 2 4" xfId="1744"/>
    <cellStyle name="20% - Accent6 3 3" xfId="398"/>
    <cellStyle name="20% - Accent6 3 3 2" xfId="704"/>
    <cellStyle name="20% - Accent6 3 3 2 2" xfId="2165"/>
    <cellStyle name="20% - Accent6 3 3 3" xfId="1320"/>
    <cellStyle name="20% - Accent6 3 3 3 2" xfId="2781"/>
    <cellStyle name="20% - Accent6 3 3 4" xfId="1859"/>
    <cellStyle name="20% - Accent6 3 4" xfId="219"/>
    <cellStyle name="20% - Accent6 3 4 2" xfId="1141"/>
    <cellStyle name="20% - Accent6 3 4 2 2" xfId="2602"/>
    <cellStyle name="20% - Accent6 3 4 3" xfId="1680"/>
    <cellStyle name="20% - Accent6 3 5" xfId="525"/>
    <cellStyle name="20% - Accent6 3 5 2" xfId="1986"/>
    <cellStyle name="20% - Accent6 3 6" xfId="860"/>
    <cellStyle name="20% - Accent6 3 6 2" xfId="2321"/>
    <cellStyle name="20% - Accent6 3 7" xfId="1539"/>
    <cellStyle name="20% - Accent6 4" xfId="110"/>
    <cellStyle name="20% - Accent6 4 2" xfId="430"/>
    <cellStyle name="20% - Accent6 4 2 2" xfId="736"/>
    <cellStyle name="20% - Accent6 4 2 2 2" xfId="1352"/>
    <cellStyle name="20% - Accent6 4 2 2 2 2" xfId="2813"/>
    <cellStyle name="20% - Accent6 4 2 2 3" xfId="2197"/>
    <cellStyle name="20% - Accent6 4 2 3" xfId="1046"/>
    <cellStyle name="20% - Accent6 4 2 3 2" xfId="2507"/>
    <cellStyle name="20% - Accent6 4 2 4" xfId="1891"/>
    <cellStyle name="20% - Accent6 4 3" xfId="252"/>
    <cellStyle name="20% - Accent6 4 3 2" xfId="1174"/>
    <cellStyle name="20% - Accent6 4 3 2 2" xfId="2635"/>
    <cellStyle name="20% - Accent6 4 3 3" xfId="1713"/>
    <cellStyle name="20% - Accent6 4 4" xfId="558"/>
    <cellStyle name="20% - Accent6 4 4 2" xfId="2019"/>
    <cellStyle name="20% - Accent6 4 5" xfId="892"/>
    <cellStyle name="20% - Accent6 4 5 2" xfId="2353"/>
    <cellStyle name="20% - Accent6 4 6" xfId="1571"/>
    <cellStyle name="20% - Accent6 5" xfId="141"/>
    <cellStyle name="20% - Accent6 5 2" xfId="461"/>
    <cellStyle name="20% - Accent6 5 2 2" xfId="767"/>
    <cellStyle name="20% - Accent6 5 2 2 2" xfId="1383"/>
    <cellStyle name="20% - Accent6 5 2 2 2 2" xfId="2844"/>
    <cellStyle name="20% - Accent6 5 2 2 3" xfId="2228"/>
    <cellStyle name="20% - Accent6 5 2 3" xfId="1077"/>
    <cellStyle name="20% - Accent6 5 2 3 2" xfId="2538"/>
    <cellStyle name="20% - Accent6 5 2 4" xfId="1922"/>
    <cellStyle name="20% - Accent6 5 3" xfId="335"/>
    <cellStyle name="20% - Accent6 5 3 2" xfId="1257"/>
    <cellStyle name="20% - Accent6 5 3 2 2" xfId="2718"/>
    <cellStyle name="20% - Accent6 5 3 3" xfId="1796"/>
    <cellStyle name="20% - Accent6 5 4" xfId="641"/>
    <cellStyle name="20% - Accent6 5 4 2" xfId="2102"/>
    <cellStyle name="20% - Accent6 5 5" xfId="923"/>
    <cellStyle name="20% - Accent6 5 5 2" xfId="2384"/>
    <cellStyle name="20% - Accent6 5 6" xfId="1602"/>
    <cellStyle name="20% - Accent6 6" xfId="156"/>
    <cellStyle name="20% - Accent6 6 2" xfId="476"/>
    <cellStyle name="20% - Accent6 6 2 2" xfId="1092"/>
    <cellStyle name="20% - Accent6 6 2 2 2" xfId="2553"/>
    <cellStyle name="20% - Accent6 6 2 3" xfId="1937"/>
    <cellStyle name="20% - Accent6 6 3" xfId="782"/>
    <cellStyle name="20% - Accent6 6 3 2" xfId="1398"/>
    <cellStyle name="20% - Accent6 6 3 2 2" xfId="2859"/>
    <cellStyle name="20% - Accent6 6 3 3" xfId="2243"/>
    <cellStyle name="20% - Accent6 6 4" xfId="938"/>
    <cellStyle name="20% - Accent6 6 4 2" xfId="2399"/>
    <cellStyle name="20% - Accent6 6 5" xfId="1617"/>
    <cellStyle name="20% - Accent6 7" xfId="187"/>
    <cellStyle name="20% - Accent6 7 2" xfId="367"/>
    <cellStyle name="20% - Accent6 7 2 2" xfId="1289"/>
    <cellStyle name="20% - Accent6 7 2 2 2" xfId="2750"/>
    <cellStyle name="20% - Accent6 7 2 3" xfId="1828"/>
    <cellStyle name="20% - Accent6 7 3" xfId="673"/>
    <cellStyle name="20% - Accent6 7 3 2" xfId="2134"/>
    <cellStyle name="20% - Accent6 7 4" xfId="969"/>
    <cellStyle name="20% - Accent6 7 4 2" xfId="2430"/>
    <cellStyle name="20% - Accent6 7 5" xfId="1648"/>
    <cellStyle name="20% - Accent6 8" xfId="202"/>
    <cellStyle name="20% - Accent6 8 2" xfId="813"/>
    <cellStyle name="20% - Accent6 8 2 2" xfId="1429"/>
    <cellStyle name="20% - Accent6 8 2 2 2" xfId="2890"/>
    <cellStyle name="20% - Accent6 8 2 3" xfId="2274"/>
    <cellStyle name="20% - Accent6 8 3" xfId="975"/>
    <cellStyle name="20% - Accent6 8 3 2" xfId="2436"/>
    <cellStyle name="20% - Accent6 8 4" xfId="1663"/>
    <cellStyle name="20% - Accent6 9" xfId="508"/>
    <cellStyle name="20% - Accent6 9 2" xfId="1124"/>
    <cellStyle name="20% - Accent6 9 2 2" xfId="2585"/>
    <cellStyle name="20% - Accent6 9 3" xfId="1969"/>
    <cellStyle name="40% - Accent1" xfId="27" builtinId="31" customBuiltin="1"/>
    <cellStyle name="40% - Accent1 10" xfId="819"/>
    <cellStyle name="40% - Accent1 10 2" xfId="2280"/>
    <cellStyle name="40% - Accent1 11" xfId="1499"/>
    <cellStyle name="40% - Accent1 2" xfId="54"/>
    <cellStyle name="40% - Accent1 2 10" xfId="1515"/>
    <cellStyle name="40% - Accent1 2 2" xfId="85"/>
    <cellStyle name="40% - Accent1 2 2 2" xfId="405"/>
    <cellStyle name="40% - Accent1 2 2 2 2" xfId="711"/>
    <cellStyle name="40% - Accent1 2 2 2 2 2" xfId="1327"/>
    <cellStyle name="40% - Accent1 2 2 2 2 2 2" xfId="2788"/>
    <cellStyle name="40% - Accent1 2 2 2 2 3" xfId="2172"/>
    <cellStyle name="40% - Accent1 2 2 2 3" xfId="1021"/>
    <cellStyle name="40% - Accent1 2 2 2 3 2" xfId="2482"/>
    <cellStyle name="40% - Accent1 2 2 2 4" xfId="1866"/>
    <cellStyle name="40% - Accent1 2 2 3" xfId="290"/>
    <cellStyle name="40% - Accent1 2 2 3 2" xfId="1212"/>
    <cellStyle name="40% - Accent1 2 2 3 2 2" xfId="2673"/>
    <cellStyle name="40% - Accent1 2 2 3 3" xfId="1751"/>
    <cellStyle name="40% - Accent1 2 2 4" xfId="596"/>
    <cellStyle name="40% - Accent1 2 2 4 2" xfId="2057"/>
    <cellStyle name="40% - Accent1 2 2 5" xfId="867"/>
    <cellStyle name="40% - Accent1 2 2 5 2" xfId="2328"/>
    <cellStyle name="40% - Accent1 2 2 6" xfId="1546"/>
    <cellStyle name="40% - Accent1 2 3" xfId="117"/>
    <cellStyle name="40% - Accent1 2 3 2" xfId="437"/>
    <cellStyle name="40% - Accent1 2 3 2 2" xfId="743"/>
    <cellStyle name="40% - Accent1 2 3 2 2 2" xfId="1359"/>
    <cellStyle name="40% - Accent1 2 3 2 2 2 2" xfId="2820"/>
    <cellStyle name="40% - Accent1 2 3 2 2 3" xfId="2204"/>
    <cellStyle name="40% - Accent1 2 3 2 3" xfId="1053"/>
    <cellStyle name="40% - Accent1 2 3 2 3 2" xfId="2514"/>
    <cellStyle name="40% - Accent1 2 3 2 4" xfId="1898"/>
    <cellStyle name="40% - Accent1 2 3 3" xfId="310"/>
    <cellStyle name="40% - Accent1 2 3 3 2" xfId="1232"/>
    <cellStyle name="40% - Accent1 2 3 3 2 2" xfId="2693"/>
    <cellStyle name="40% - Accent1 2 3 3 3" xfId="1771"/>
    <cellStyle name="40% - Accent1 2 3 4" xfId="616"/>
    <cellStyle name="40% - Accent1 2 3 4 2" xfId="2077"/>
    <cellStyle name="40% - Accent1 2 3 5" xfId="899"/>
    <cellStyle name="40% - Accent1 2 3 5 2" xfId="2360"/>
    <cellStyle name="40% - Accent1 2 3 6" xfId="1578"/>
    <cellStyle name="40% - Accent1 2 4" xfId="163"/>
    <cellStyle name="40% - Accent1 2 4 2" xfId="483"/>
    <cellStyle name="40% - Accent1 2 4 2 2" xfId="789"/>
    <cellStyle name="40% - Accent1 2 4 2 2 2" xfId="1405"/>
    <cellStyle name="40% - Accent1 2 4 2 2 2 2" xfId="2866"/>
    <cellStyle name="40% - Accent1 2 4 2 2 3" xfId="2250"/>
    <cellStyle name="40% - Accent1 2 4 2 3" xfId="1099"/>
    <cellStyle name="40% - Accent1 2 4 2 3 2" xfId="2560"/>
    <cellStyle name="40% - Accent1 2 4 2 4" xfId="1944"/>
    <cellStyle name="40% - Accent1 2 4 3" xfId="259"/>
    <cellStyle name="40% - Accent1 2 4 3 2" xfId="1181"/>
    <cellStyle name="40% - Accent1 2 4 3 2 2" xfId="2642"/>
    <cellStyle name="40% - Accent1 2 4 3 3" xfId="1720"/>
    <cellStyle name="40% - Accent1 2 4 4" xfId="565"/>
    <cellStyle name="40% - Accent1 2 4 4 2" xfId="2026"/>
    <cellStyle name="40% - Accent1 2 4 5" xfId="945"/>
    <cellStyle name="40% - Accent1 2 4 5 2" xfId="2406"/>
    <cellStyle name="40% - Accent1 2 4 6" xfId="1624"/>
    <cellStyle name="40% - Accent1 2 5" xfId="342"/>
    <cellStyle name="40% - Accent1 2 5 2" xfId="648"/>
    <cellStyle name="40% - Accent1 2 5 2 2" xfId="1264"/>
    <cellStyle name="40% - Accent1 2 5 2 2 2" xfId="2725"/>
    <cellStyle name="40% - Accent1 2 5 2 3" xfId="2109"/>
    <cellStyle name="40% - Accent1 2 5 3" xfId="990"/>
    <cellStyle name="40% - Accent1 2 5 3 2" xfId="2451"/>
    <cellStyle name="40% - Accent1 2 5 4" xfId="1803"/>
    <cellStyle name="40% - Accent1 2 6" xfId="374"/>
    <cellStyle name="40% - Accent1 2 6 2" xfId="680"/>
    <cellStyle name="40% - Accent1 2 6 2 2" xfId="2141"/>
    <cellStyle name="40% - Accent1 2 6 3" xfId="1296"/>
    <cellStyle name="40% - Accent1 2 6 3 2" xfId="2757"/>
    <cellStyle name="40% - Accent1 2 6 4" xfId="1835"/>
    <cellStyle name="40% - Accent1 2 7" xfId="226"/>
    <cellStyle name="40% - Accent1 2 7 2" xfId="1148"/>
    <cellStyle name="40% - Accent1 2 7 2 2" xfId="2609"/>
    <cellStyle name="40% - Accent1 2 7 3" xfId="1687"/>
    <cellStyle name="40% - Accent1 2 8" xfId="532"/>
    <cellStyle name="40% - Accent1 2 8 2" xfId="1993"/>
    <cellStyle name="40% - Accent1 2 9" xfId="836"/>
    <cellStyle name="40% - Accent1 2 9 2" xfId="2297"/>
    <cellStyle name="40% - Accent1 3" xfId="69"/>
    <cellStyle name="40% - Accent1 3 2" xfId="274"/>
    <cellStyle name="40% - Accent1 3 2 2" xfId="580"/>
    <cellStyle name="40% - Accent1 3 2 2 2" xfId="1196"/>
    <cellStyle name="40% - Accent1 3 2 2 2 2" xfId="2657"/>
    <cellStyle name="40% - Accent1 3 2 2 3" xfId="2041"/>
    <cellStyle name="40% - Accent1 3 2 3" xfId="1005"/>
    <cellStyle name="40% - Accent1 3 2 3 2" xfId="2466"/>
    <cellStyle name="40% - Accent1 3 2 4" xfId="1735"/>
    <cellStyle name="40% - Accent1 3 3" xfId="389"/>
    <cellStyle name="40% - Accent1 3 3 2" xfId="695"/>
    <cellStyle name="40% - Accent1 3 3 2 2" xfId="2156"/>
    <cellStyle name="40% - Accent1 3 3 3" xfId="1311"/>
    <cellStyle name="40% - Accent1 3 3 3 2" xfId="2772"/>
    <cellStyle name="40% - Accent1 3 3 4" xfId="1850"/>
    <cellStyle name="40% - Accent1 3 4" xfId="210"/>
    <cellStyle name="40% - Accent1 3 4 2" xfId="1132"/>
    <cellStyle name="40% - Accent1 3 4 2 2" xfId="2593"/>
    <cellStyle name="40% - Accent1 3 4 3" xfId="1671"/>
    <cellStyle name="40% - Accent1 3 5" xfId="516"/>
    <cellStyle name="40% - Accent1 3 5 2" xfId="1977"/>
    <cellStyle name="40% - Accent1 3 6" xfId="851"/>
    <cellStyle name="40% - Accent1 3 6 2" xfId="2312"/>
    <cellStyle name="40% - Accent1 3 7" xfId="1530"/>
    <cellStyle name="40% - Accent1 4" xfId="101"/>
    <cellStyle name="40% - Accent1 4 2" xfId="421"/>
    <cellStyle name="40% - Accent1 4 2 2" xfId="727"/>
    <cellStyle name="40% - Accent1 4 2 2 2" xfId="1343"/>
    <cellStyle name="40% - Accent1 4 2 2 2 2" xfId="2804"/>
    <cellStyle name="40% - Accent1 4 2 2 3" xfId="2188"/>
    <cellStyle name="40% - Accent1 4 2 3" xfId="1037"/>
    <cellStyle name="40% - Accent1 4 2 3 2" xfId="2498"/>
    <cellStyle name="40% - Accent1 4 2 4" xfId="1882"/>
    <cellStyle name="40% - Accent1 4 3" xfId="243"/>
    <cellStyle name="40% - Accent1 4 3 2" xfId="1165"/>
    <cellStyle name="40% - Accent1 4 3 2 2" xfId="2626"/>
    <cellStyle name="40% - Accent1 4 3 3" xfId="1704"/>
    <cellStyle name="40% - Accent1 4 4" xfId="549"/>
    <cellStyle name="40% - Accent1 4 4 2" xfId="2010"/>
    <cellStyle name="40% - Accent1 4 5" xfId="883"/>
    <cellStyle name="40% - Accent1 4 5 2" xfId="2344"/>
    <cellStyle name="40% - Accent1 4 6" xfId="1562"/>
    <cellStyle name="40% - Accent1 5" xfId="132"/>
    <cellStyle name="40% - Accent1 5 2" xfId="452"/>
    <cellStyle name="40% - Accent1 5 2 2" xfId="758"/>
    <cellStyle name="40% - Accent1 5 2 2 2" xfId="1374"/>
    <cellStyle name="40% - Accent1 5 2 2 2 2" xfId="2835"/>
    <cellStyle name="40% - Accent1 5 2 2 3" xfId="2219"/>
    <cellStyle name="40% - Accent1 5 2 3" xfId="1068"/>
    <cellStyle name="40% - Accent1 5 2 3 2" xfId="2529"/>
    <cellStyle name="40% - Accent1 5 2 4" xfId="1913"/>
    <cellStyle name="40% - Accent1 5 3" xfId="326"/>
    <cellStyle name="40% - Accent1 5 3 2" xfId="1248"/>
    <cellStyle name="40% - Accent1 5 3 2 2" xfId="2709"/>
    <cellStyle name="40% - Accent1 5 3 3" xfId="1787"/>
    <cellStyle name="40% - Accent1 5 4" xfId="632"/>
    <cellStyle name="40% - Accent1 5 4 2" xfId="2093"/>
    <cellStyle name="40% - Accent1 5 5" xfId="914"/>
    <cellStyle name="40% - Accent1 5 5 2" xfId="2375"/>
    <cellStyle name="40% - Accent1 5 6" xfId="1593"/>
    <cellStyle name="40% - Accent1 6" xfId="147"/>
    <cellStyle name="40% - Accent1 6 2" xfId="467"/>
    <cellStyle name="40% - Accent1 6 2 2" xfId="1083"/>
    <cellStyle name="40% - Accent1 6 2 2 2" xfId="2544"/>
    <cellStyle name="40% - Accent1 6 2 3" xfId="1928"/>
    <cellStyle name="40% - Accent1 6 3" xfId="773"/>
    <cellStyle name="40% - Accent1 6 3 2" xfId="1389"/>
    <cellStyle name="40% - Accent1 6 3 2 2" xfId="2850"/>
    <cellStyle name="40% - Accent1 6 3 3" xfId="2234"/>
    <cellStyle name="40% - Accent1 6 4" xfId="929"/>
    <cellStyle name="40% - Accent1 6 4 2" xfId="2390"/>
    <cellStyle name="40% - Accent1 6 5" xfId="1608"/>
    <cellStyle name="40% - Accent1 7" xfId="178"/>
    <cellStyle name="40% - Accent1 7 2" xfId="358"/>
    <cellStyle name="40% - Accent1 7 2 2" xfId="1280"/>
    <cellStyle name="40% - Accent1 7 2 2 2" xfId="2741"/>
    <cellStyle name="40% - Accent1 7 2 3" xfId="1819"/>
    <cellStyle name="40% - Accent1 7 3" xfId="664"/>
    <cellStyle name="40% - Accent1 7 3 2" xfId="2125"/>
    <cellStyle name="40% - Accent1 7 4" xfId="960"/>
    <cellStyle name="40% - Accent1 7 4 2" xfId="2421"/>
    <cellStyle name="40% - Accent1 7 5" xfId="1639"/>
    <cellStyle name="40% - Accent1 8" xfId="193"/>
    <cellStyle name="40% - Accent1 8 2" xfId="804"/>
    <cellStyle name="40% - Accent1 8 2 2" xfId="1420"/>
    <cellStyle name="40% - Accent1 8 2 2 2" xfId="2881"/>
    <cellStyle name="40% - Accent1 8 2 3" xfId="2265"/>
    <cellStyle name="40% - Accent1 8 3" xfId="974"/>
    <cellStyle name="40% - Accent1 8 3 2" xfId="2435"/>
    <cellStyle name="40% - Accent1 8 4" xfId="1654"/>
    <cellStyle name="40% - Accent1 9" xfId="499"/>
    <cellStyle name="40% - Accent1 9 2" xfId="1115"/>
    <cellStyle name="40% - Accent1 9 2 2" xfId="2576"/>
    <cellStyle name="40% - Accent1 9 3" xfId="1960"/>
    <cellStyle name="40% - Accent2" xfId="31" builtinId="35" customBuiltin="1"/>
    <cellStyle name="40% - Accent2 10" xfId="821"/>
    <cellStyle name="40% - Accent2 10 2" xfId="2282"/>
    <cellStyle name="40% - Accent2 11" xfId="1501"/>
    <cellStyle name="40% - Accent2 2" xfId="56"/>
    <cellStyle name="40% - Accent2 2 10" xfId="1517"/>
    <cellStyle name="40% - Accent2 2 2" xfId="87"/>
    <cellStyle name="40% - Accent2 2 2 2" xfId="407"/>
    <cellStyle name="40% - Accent2 2 2 2 2" xfId="713"/>
    <cellStyle name="40% - Accent2 2 2 2 2 2" xfId="1329"/>
    <cellStyle name="40% - Accent2 2 2 2 2 2 2" xfId="2790"/>
    <cellStyle name="40% - Accent2 2 2 2 2 3" xfId="2174"/>
    <cellStyle name="40% - Accent2 2 2 2 3" xfId="1023"/>
    <cellStyle name="40% - Accent2 2 2 2 3 2" xfId="2484"/>
    <cellStyle name="40% - Accent2 2 2 2 4" xfId="1868"/>
    <cellStyle name="40% - Accent2 2 2 3" xfId="292"/>
    <cellStyle name="40% - Accent2 2 2 3 2" xfId="1214"/>
    <cellStyle name="40% - Accent2 2 2 3 2 2" xfId="2675"/>
    <cellStyle name="40% - Accent2 2 2 3 3" xfId="1753"/>
    <cellStyle name="40% - Accent2 2 2 4" xfId="598"/>
    <cellStyle name="40% - Accent2 2 2 4 2" xfId="2059"/>
    <cellStyle name="40% - Accent2 2 2 5" xfId="869"/>
    <cellStyle name="40% - Accent2 2 2 5 2" xfId="2330"/>
    <cellStyle name="40% - Accent2 2 2 6" xfId="1548"/>
    <cellStyle name="40% - Accent2 2 3" xfId="119"/>
    <cellStyle name="40% - Accent2 2 3 2" xfId="439"/>
    <cellStyle name="40% - Accent2 2 3 2 2" xfId="745"/>
    <cellStyle name="40% - Accent2 2 3 2 2 2" xfId="1361"/>
    <cellStyle name="40% - Accent2 2 3 2 2 2 2" xfId="2822"/>
    <cellStyle name="40% - Accent2 2 3 2 2 3" xfId="2206"/>
    <cellStyle name="40% - Accent2 2 3 2 3" xfId="1055"/>
    <cellStyle name="40% - Accent2 2 3 2 3 2" xfId="2516"/>
    <cellStyle name="40% - Accent2 2 3 2 4" xfId="1900"/>
    <cellStyle name="40% - Accent2 2 3 3" xfId="312"/>
    <cellStyle name="40% - Accent2 2 3 3 2" xfId="1234"/>
    <cellStyle name="40% - Accent2 2 3 3 2 2" xfId="2695"/>
    <cellStyle name="40% - Accent2 2 3 3 3" xfId="1773"/>
    <cellStyle name="40% - Accent2 2 3 4" xfId="618"/>
    <cellStyle name="40% - Accent2 2 3 4 2" xfId="2079"/>
    <cellStyle name="40% - Accent2 2 3 5" xfId="901"/>
    <cellStyle name="40% - Accent2 2 3 5 2" xfId="2362"/>
    <cellStyle name="40% - Accent2 2 3 6" xfId="1580"/>
    <cellStyle name="40% - Accent2 2 4" xfId="165"/>
    <cellStyle name="40% - Accent2 2 4 2" xfId="485"/>
    <cellStyle name="40% - Accent2 2 4 2 2" xfId="791"/>
    <cellStyle name="40% - Accent2 2 4 2 2 2" xfId="1407"/>
    <cellStyle name="40% - Accent2 2 4 2 2 2 2" xfId="2868"/>
    <cellStyle name="40% - Accent2 2 4 2 2 3" xfId="2252"/>
    <cellStyle name="40% - Accent2 2 4 2 3" xfId="1101"/>
    <cellStyle name="40% - Accent2 2 4 2 3 2" xfId="2562"/>
    <cellStyle name="40% - Accent2 2 4 2 4" xfId="1946"/>
    <cellStyle name="40% - Accent2 2 4 3" xfId="261"/>
    <cellStyle name="40% - Accent2 2 4 3 2" xfId="1183"/>
    <cellStyle name="40% - Accent2 2 4 3 2 2" xfId="2644"/>
    <cellStyle name="40% - Accent2 2 4 3 3" xfId="1722"/>
    <cellStyle name="40% - Accent2 2 4 4" xfId="567"/>
    <cellStyle name="40% - Accent2 2 4 4 2" xfId="2028"/>
    <cellStyle name="40% - Accent2 2 4 5" xfId="947"/>
    <cellStyle name="40% - Accent2 2 4 5 2" xfId="2408"/>
    <cellStyle name="40% - Accent2 2 4 6" xfId="1626"/>
    <cellStyle name="40% - Accent2 2 5" xfId="344"/>
    <cellStyle name="40% - Accent2 2 5 2" xfId="650"/>
    <cellStyle name="40% - Accent2 2 5 2 2" xfId="1266"/>
    <cellStyle name="40% - Accent2 2 5 2 2 2" xfId="2727"/>
    <cellStyle name="40% - Accent2 2 5 2 3" xfId="2111"/>
    <cellStyle name="40% - Accent2 2 5 3" xfId="992"/>
    <cellStyle name="40% - Accent2 2 5 3 2" xfId="2453"/>
    <cellStyle name="40% - Accent2 2 5 4" xfId="1805"/>
    <cellStyle name="40% - Accent2 2 6" xfId="376"/>
    <cellStyle name="40% - Accent2 2 6 2" xfId="682"/>
    <cellStyle name="40% - Accent2 2 6 2 2" xfId="2143"/>
    <cellStyle name="40% - Accent2 2 6 3" xfId="1298"/>
    <cellStyle name="40% - Accent2 2 6 3 2" xfId="2759"/>
    <cellStyle name="40% - Accent2 2 6 4" xfId="1837"/>
    <cellStyle name="40% - Accent2 2 7" xfId="228"/>
    <cellStyle name="40% - Accent2 2 7 2" xfId="1150"/>
    <cellStyle name="40% - Accent2 2 7 2 2" xfId="2611"/>
    <cellStyle name="40% - Accent2 2 7 3" xfId="1689"/>
    <cellStyle name="40% - Accent2 2 8" xfId="534"/>
    <cellStyle name="40% - Accent2 2 8 2" xfId="1995"/>
    <cellStyle name="40% - Accent2 2 9" xfId="838"/>
    <cellStyle name="40% - Accent2 2 9 2" xfId="2299"/>
    <cellStyle name="40% - Accent2 3" xfId="71"/>
    <cellStyle name="40% - Accent2 3 2" xfId="276"/>
    <cellStyle name="40% - Accent2 3 2 2" xfId="582"/>
    <cellStyle name="40% - Accent2 3 2 2 2" xfId="1198"/>
    <cellStyle name="40% - Accent2 3 2 2 2 2" xfId="2659"/>
    <cellStyle name="40% - Accent2 3 2 2 3" xfId="2043"/>
    <cellStyle name="40% - Accent2 3 2 3" xfId="1007"/>
    <cellStyle name="40% - Accent2 3 2 3 2" xfId="2468"/>
    <cellStyle name="40% - Accent2 3 2 4" xfId="1737"/>
    <cellStyle name="40% - Accent2 3 3" xfId="391"/>
    <cellStyle name="40% - Accent2 3 3 2" xfId="697"/>
    <cellStyle name="40% - Accent2 3 3 2 2" xfId="2158"/>
    <cellStyle name="40% - Accent2 3 3 3" xfId="1313"/>
    <cellStyle name="40% - Accent2 3 3 3 2" xfId="2774"/>
    <cellStyle name="40% - Accent2 3 3 4" xfId="1852"/>
    <cellStyle name="40% - Accent2 3 4" xfId="212"/>
    <cellStyle name="40% - Accent2 3 4 2" xfId="1134"/>
    <cellStyle name="40% - Accent2 3 4 2 2" xfId="2595"/>
    <cellStyle name="40% - Accent2 3 4 3" xfId="1673"/>
    <cellStyle name="40% - Accent2 3 5" xfId="518"/>
    <cellStyle name="40% - Accent2 3 5 2" xfId="1979"/>
    <cellStyle name="40% - Accent2 3 6" xfId="853"/>
    <cellStyle name="40% - Accent2 3 6 2" xfId="2314"/>
    <cellStyle name="40% - Accent2 3 7" xfId="1532"/>
    <cellStyle name="40% - Accent2 4" xfId="103"/>
    <cellStyle name="40% - Accent2 4 2" xfId="423"/>
    <cellStyle name="40% - Accent2 4 2 2" xfId="729"/>
    <cellStyle name="40% - Accent2 4 2 2 2" xfId="1345"/>
    <cellStyle name="40% - Accent2 4 2 2 2 2" xfId="2806"/>
    <cellStyle name="40% - Accent2 4 2 2 3" xfId="2190"/>
    <cellStyle name="40% - Accent2 4 2 3" xfId="1039"/>
    <cellStyle name="40% - Accent2 4 2 3 2" xfId="2500"/>
    <cellStyle name="40% - Accent2 4 2 4" xfId="1884"/>
    <cellStyle name="40% - Accent2 4 3" xfId="245"/>
    <cellStyle name="40% - Accent2 4 3 2" xfId="1167"/>
    <cellStyle name="40% - Accent2 4 3 2 2" xfId="2628"/>
    <cellStyle name="40% - Accent2 4 3 3" xfId="1706"/>
    <cellStyle name="40% - Accent2 4 4" xfId="551"/>
    <cellStyle name="40% - Accent2 4 4 2" xfId="2012"/>
    <cellStyle name="40% - Accent2 4 5" xfId="885"/>
    <cellStyle name="40% - Accent2 4 5 2" xfId="2346"/>
    <cellStyle name="40% - Accent2 4 6" xfId="1564"/>
    <cellStyle name="40% - Accent2 5" xfId="134"/>
    <cellStyle name="40% - Accent2 5 2" xfId="454"/>
    <cellStyle name="40% - Accent2 5 2 2" xfId="760"/>
    <cellStyle name="40% - Accent2 5 2 2 2" xfId="1376"/>
    <cellStyle name="40% - Accent2 5 2 2 2 2" xfId="2837"/>
    <cellStyle name="40% - Accent2 5 2 2 3" xfId="2221"/>
    <cellStyle name="40% - Accent2 5 2 3" xfId="1070"/>
    <cellStyle name="40% - Accent2 5 2 3 2" xfId="2531"/>
    <cellStyle name="40% - Accent2 5 2 4" xfId="1915"/>
    <cellStyle name="40% - Accent2 5 3" xfId="328"/>
    <cellStyle name="40% - Accent2 5 3 2" xfId="1250"/>
    <cellStyle name="40% - Accent2 5 3 2 2" xfId="2711"/>
    <cellStyle name="40% - Accent2 5 3 3" xfId="1789"/>
    <cellStyle name="40% - Accent2 5 4" xfId="634"/>
    <cellStyle name="40% - Accent2 5 4 2" xfId="2095"/>
    <cellStyle name="40% - Accent2 5 5" xfId="916"/>
    <cellStyle name="40% - Accent2 5 5 2" xfId="2377"/>
    <cellStyle name="40% - Accent2 5 6" xfId="1595"/>
    <cellStyle name="40% - Accent2 6" xfId="149"/>
    <cellStyle name="40% - Accent2 6 2" xfId="469"/>
    <cellStyle name="40% - Accent2 6 2 2" xfId="1085"/>
    <cellStyle name="40% - Accent2 6 2 2 2" xfId="2546"/>
    <cellStyle name="40% - Accent2 6 2 3" xfId="1930"/>
    <cellStyle name="40% - Accent2 6 3" xfId="775"/>
    <cellStyle name="40% - Accent2 6 3 2" xfId="1391"/>
    <cellStyle name="40% - Accent2 6 3 2 2" xfId="2852"/>
    <cellStyle name="40% - Accent2 6 3 3" xfId="2236"/>
    <cellStyle name="40% - Accent2 6 4" xfId="931"/>
    <cellStyle name="40% - Accent2 6 4 2" xfId="2392"/>
    <cellStyle name="40% - Accent2 6 5" xfId="1610"/>
    <cellStyle name="40% - Accent2 7" xfId="180"/>
    <cellStyle name="40% - Accent2 7 2" xfId="360"/>
    <cellStyle name="40% - Accent2 7 2 2" xfId="1282"/>
    <cellStyle name="40% - Accent2 7 2 2 2" xfId="2743"/>
    <cellStyle name="40% - Accent2 7 2 3" xfId="1821"/>
    <cellStyle name="40% - Accent2 7 3" xfId="666"/>
    <cellStyle name="40% - Accent2 7 3 2" xfId="2127"/>
    <cellStyle name="40% - Accent2 7 4" xfId="962"/>
    <cellStyle name="40% - Accent2 7 4 2" xfId="2423"/>
    <cellStyle name="40% - Accent2 7 5" xfId="1641"/>
    <cellStyle name="40% - Accent2 8" xfId="195"/>
    <cellStyle name="40% - Accent2 8 2" xfId="806"/>
    <cellStyle name="40% - Accent2 8 2 2" xfId="1422"/>
    <cellStyle name="40% - Accent2 8 2 2 2" xfId="2883"/>
    <cellStyle name="40% - Accent2 8 2 3" xfId="2267"/>
    <cellStyle name="40% - Accent2 8 3" xfId="977"/>
    <cellStyle name="40% - Accent2 8 3 2" xfId="2438"/>
    <cellStyle name="40% - Accent2 8 4" xfId="1656"/>
    <cellStyle name="40% - Accent2 9" xfId="501"/>
    <cellStyle name="40% - Accent2 9 2" xfId="1117"/>
    <cellStyle name="40% - Accent2 9 2 2" xfId="2578"/>
    <cellStyle name="40% - Accent2 9 3" xfId="1962"/>
    <cellStyle name="40% - Accent3" xfId="35" builtinId="39" customBuiltin="1"/>
    <cellStyle name="40% - Accent3 10" xfId="824"/>
    <cellStyle name="40% - Accent3 10 2" xfId="2285"/>
    <cellStyle name="40% - Accent3 11" xfId="1503"/>
    <cellStyle name="40% - Accent3 2" xfId="58"/>
    <cellStyle name="40% - Accent3 2 10" xfId="1519"/>
    <cellStyle name="40% - Accent3 2 2" xfId="89"/>
    <cellStyle name="40% - Accent3 2 2 2" xfId="409"/>
    <cellStyle name="40% - Accent3 2 2 2 2" xfId="715"/>
    <cellStyle name="40% - Accent3 2 2 2 2 2" xfId="1331"/>
    <cellStyle name="40% - Accent3 2 2 2 2 2 2" xfId="2792"/>
    <cellStyle name="40% - Accent3 2 2 2 2 3" xfId="2176"/>
    <cellStyle name="40% - Accent3 2 2 2 3" xfId="1025"/>
    <cellStyle name="40% - Accent3 2 2 2 3 2" xfId="2486"/>
    <cellStyle name="40% - Accent3 2 2 2 4" xfId="1870"/>
    <cellStyle name="40% - Accent3 2 2 3" xfId="294"/>
    <cellStyle name="40% - Accent3 2 2 3 2" xfId="1216"/>
    <cellStyle name="40% - Accent3 2 2 3 2 2" xfId="2677"/>
    <cellStyle name="40% - Accent3 2 2 3 3" xfId="1755"/>
    <cellStyle name="40% - Accent3 2 2 4" xfId="600"/>
    <cellStyle name="40% - Accent3 2 2 4 2" xfId="2061"/>
    <cellStyle name="40% - Accent3 2 2 5" xfId="871"/>
    <cellStyle name="40% - Accent3 2 2 5 2" xfId="2332"/>
    <cellStyle name="40% - Accent3 2 2 6" xfId="1550"/>
    <cellStyle name="40% - Accent3 2 3" xfId="121"/>
    <cellStyle name="40% - Accent3 2 3 2" xfId="441"/>
    <cellStyle name="40% - Accent3 2 3 2 2" xfId="747"/>
    <cellStyle name="40% - Accent3 2 3 2 2 2" xfId="1363"/>
    <cellStyle name="40% - Accent3 2 3 2 2 2 2" xfId="2824"/>
    <cellStyle name="40% - Accent3 2 3 2 2 3" xfId="2208"/>
    <cellStyle name="40% - Accent3 2 3 2 3" xfId="1057"/>
    <cellStyle name="40% - Accent3 2 3 2 3 2" xfId="2518"/>
    <cellStyle name="40% - Accent3 2 3 2 4" xfId="1902"/>
    <cellStyle name="40% - Accent3 2 3 3" xfId="314"/>
    <cellStyle name="40% - Accent3 2 3 3 2" xfId="1236"/>
    <cellStyle name="40% - Accent3 2 3 3 2 2" xfId="2697"/>
    <cellStyle name="40% - Accent3 2 3 3 3" xfId="1775"/>
    <cellStyle name="40% - Accent3 2 3 4" xfId="620"/>
    <cellStyle name="40% - Accent3 2 3 4 2" xfId="2081"/>
    <cellStyle name="40% - Accent3 2 3 5" xfId="903"/>
    <cellStyle name="40% - Accent3 2 3 5 2" xfId="2364"/>
    <cellStyle name="40% - Accent3 2 3 6" xfId="1582"/>
    <cellStyle name="40% - Accent3 2 4" xfId="167"/>
    <cellStyle name="40% - Accent3 2 4 2" xfId="487"/>
    <cellStyle name="40% - Accent3 2 4 2 2" xfId="793"/>
    <cellStyle name="40% - Accent3 2 4 2 2 2" xfId="1409"/>
    <cellStyle name="40% - Accent3 2 4 2 2 2 2" xfId="2870"/>
    <cellStyle name="40% - Accent3 2 4 2 2 3" xfId="2254"/>
    <cellStyle name="40% - Accent3 2 4 2 3" xfId="1103"/>
    <cellStyle name="40% - Accent3 2 4 2 3 2" xfId="2564"/>
    <cellStyle name="40% - Accent3 2 4 2 4" xfId="1948"/>
    <cellStyle name="40% - Accent3 2 4 3" xfId="263"/>
    <cellStyle name="40% - Accent3 2 4 3 2" xfId="1185"/>
    <cellStyle name="40% - Accent3 2 4 3 2 2" xfId="2646"/>
    <cellStyle name="40% - Accent3 2 4 3 3" xfId="1724"/>
    <cellStyle name="40% - Accent3 2 4 4" xfId="569"/>
    <cellStyle name="40% - Accent3 2 4 4 2" xfId="2030"/>
    <cellStyle name="40% - Accent3 2 4 5" xfId="949"/>
    <cellStyle name="40% - Accent3 2 4 5 2" xfId="2410"/>
    <cellStyle name="40% - Accent3 2 4 6" xfId="1628"/>
    <cellStyle name="40% - Accent3 2 5" xfId="346"/>
    <cellStyle name="40% - Accent3 2 5 2" xfId="652"/>
    <cellStyle name="40% - Accent3 2 5 2 2" xfId="1268"/>
    <cellStyle name="40% - Accent3 2 5 2 2 2" xfId="2729"/>
    <cellStyle name="40% - Accent3 2 5 2 3" xfId="2113"/>
    <cellStyle name="40% - Accent3 2 5 3" xfId="994"/>
    <cellStyle name="40% - Accent3 2 5 3 2" xfId="2455"/>
    <cellStyle name="40% - Accent3 2 5 4" xfId="1807"/>
    <cellStyle name="40% - Accent3 2 6" xfId="378"/>
    <cellStyle name="40% - Accent3 2 6 2" xfId="684"/>
    <cellStyle name="40% - Accent3 2 6 2 2" xfId="2145"/>
    <cellStyle name="40% - Accent3 2 6 3" xfId="1300"/>
    <cellStyle name="40% - Accent3 2 6 3 2" xfId="2761"/>
    <cellStyle name="40% - Accent3 2 6 4" xfId="1839"/>
    <cellStyle name="40% - Accent3 2 7" xfId="230"/>
    <cellStyle name="40% - Accent3 2 7 2" xfId="1152"/>
    <cellStyle name="40% - Accent3 2 7 2 2" xfId="2613"/>
    <cellStyle name="40% - Accent3 2 7 3" xfId="1691"/>
    <cellStyle name="40% - Accent3 2 8" xfId="536"/>
    <cellStyle name="40% - Accent3 2 8 2" xfId="1997"/>
    <cellStyle name="40% - Accent3 2 9" xfId="840"/>
    <cellStyle name="40% - Accent3 2 9 2" xfId="2301"/>
    <cellStyle name="40% - Accent3 3" xfId="73"/>
    <cellStyle name="40% - Accent3 3 2" xfId="278"/>
    <cellStyle name="40% - Accent3 3 2 2" xfId="584"/>
    <cellStyle name="40% - Accent3 3 2 2 2" xfId="1200"/>
    <cellStyle name="40% - Accent3 3 2 2 2 2" xfId="2661"/>
    <cellStyle name="40% - Accent3 3 2 2 3" xfId="2045"/>
    <cellStyle name="40% - Accent3 3 2 3" xfId="1009"/>
    <cellStyle name="40% - Accent3 3 2 3 2" xfId="2470"/>
    <cellStyle name="40% - Accent3 3 2 4" xfId="1739"/>
    <cellStyle name="40% - Accent3 3 3" xfId="393"/>
    <cellStyle name="40% - Accent3 3 3 2" xfId="699"/>
    <cellStyle name="40% - Accent3 3 3 2 2" xfId="2160"/>
    <cellStyle name="40% - Accent3 3 3 3" xfId="1315"/>
    <cellStyle name="40% - Accent3 3 3 3 2" xfId="2776"/>
    <cellStyle name="40% - Accent3 3 3 4" xfId="1854"/>
    <cellStyle name="40% - Accent3 3 4" xfId="214"/>
    <cellStyle name="40% - Accent3 3 4 2" xfId="1136"/>
    <cellStyle name="40% - Accent3 3 4 2 2" xfId="2597"/>
    <cellStyle name="40% - Accent3 3 4 3" xfId="1675"/>
    <cellStyle name="40% - Accent3 3 5" xfId="520"/>
    <cellStyle name="40% - Accent3 3 5 2" xfId="1981"/>
    <cellStyle name="40% - Accent3 3 6" xfId="855"/>
    <cellStyle name="40% - Accent3 3 6 2" xfId="2316"/>
    <cellStyle name="40% - Accent3 3 7" xfId="1534"/>
    <cellStyle name="40% - Accent3 4" xfId="105"/>
    <cellStyle name="40% - Accent3 4 2" xfId="425"/>
    <cellStyle name="40% - Accent3 4 2 2" xfId="731"/>
    <cellStyle name="40% - Accent3 4 2 2 2" xfId="1347"/>
    <cellStyle name="40% - Accent3 4 2 2 2 2" xfId="2808"/>
    <cellStyle name="40% - Accent3 4 2 2 3" xfId="2192"/>
    <cellStyle name="40% - Accent3 4 2 3" xfId="1041"/>
    <cellStyle name="40% - Accent3 4 2 3 2" xfId="2502"/>
    <cellStyle name="40% - Accent3 4 2 4" xfId="1886"/>
    <cellStyle name="40% - Accent3 4 3" xfId="247"/>
    <cellStyle name="40% - Accent3 4 3 2" xfId="1169"/>
    <cellStyle name="40% - Accent3 4 3 2 2" xfId="2630"/>
    <cellStyle name="40% - Accent3 4 3 3" xfId="1708"/>
    <cellStyle name="40% - Accent3 4 4" xfId="553"/>
    <cellStyle name="40% - Accent3 4 4 2" xfId="2014"/>
    <cellStyle name="40% - Accent3 4 5" xfId="887"/>
    <cellStyle name="40% - Accent3 4 5 2" xfId="2348"/>
    <cellStyle name="40% - Accent3 4 6" xfId="1566"/>
    <cellStyle name="40% - Accent3 5" xfId="136"/>
    <cellStyle name="40% - Accent3 5 2" xfId="456"/>
    <cellStyle name="40% - Accent3 5 2 2" xfId="762"/>
    <cellStyle name="40% - Accent3 5 2 2 2" xfId="1378"/>
    <cellStyle name="40% - Accent3 5 2 2 2 2" xfId="2839"/>
    <cellStyle name="40% - Accent3 5 2 2 3" xfId="2223"/>
    <cellStyle name="40% - Accent3 5 2 3" xfId="1072"/>
    <cellStyle name="40% - Accent3 5 2 3 2" xfId="2533"/>
    <cellStyle name="40% - Accent3 5 2 4" xfId="1917"/>
    <cellStyle name="40% - Accent3 5 3" xfId="330"/>
    <cellStyle name="40% - Accent3 5 3 2" xfId="1252"/>
    <cellStyle name="40% - Accent3 5 3 2 2" xfId="2713"/>
    <cellStyle name="40% - Accent3 5 3 3" xfId="1791"/>
    <cellStyle name="40% - Accent3 5 4" xfId="636"/>
    <cellStyle name="40% - Accent3 5 4 2" xfId="2097"/>
    <cellStyle name="40% - Accent3 5 5" xfId="918"/>
    <cellStyle name="40% - Accent3 5 5 2" xfId="2379"/>
    <cellStyle name="40% - Accent3 5 6" xfId="1597"/>
    <cellStyle name="40% - Accent3 6" xfId="151"/>
    <cellStyle name="40% - Accent3 6 2" xfId="471"/>
    <cellStyle name="40% - Accent3 6 2 2" xfId="1087"/>
    <cellStyle name="40% - Accent3 6 2 2 2" xfId="2548"/>
    <cellStyle name="40% - Accent3 6 2 3" xfId="1932"/>
    <cellStyle name="40% - Accent3 6 3" xfId="777"/>
    <cellStyle name="40% - Accent3 6 3 2" xfId="1393"/>
    <cellStyle name="40% - Accent3 6 3 2 2" xfId="2854"/>
    <cellStyle name="40% - Accent3 6 3 3" xfId="2238"/>
    <cellStyle name="40% - Accent3 6 4" xfId="933"/>
    <cellStyle name="40% - Accent3 6 4 2" xfId="2394"/>
    <cellStyle name="40% - Accent3 6 5" xfId="1612"/>
    <cellStyle name="40% - Accent3 7" xfId="182"/>
    <cellStyle name="40% - Accent3 7 2" xfId="362"/>
    <cellStyle name="40% - Accent3 7 2 2" xfId="1284"/>
    <cellStyle name="40% - Accent3 7 2 2 2" xfId="2745"/>
    <cellStyle name="40% - Accent3 7 2 3" xfId="1823"/>
    <cellStyle name="40% - Accent3 7 3" xfId="668"/>
    <cellStyle name="40% - Accent3 7 3 2" xfId="2129"/>
    <cellStyle name="40% - Accent3 7 4" xfId="964"/>
    <cellStyle name="40% - Accent3 7 4 2" xfId="2425"/>
    <cellStyle name="40% - Accent3 7 5" xfId="1643"/>
    <cellStyle name="40% - Accent3 8" xfId="197"/>
    <cellStyle name="40% - Accent3 8 2" xfId="808"/>
    <cellStyle name="40% - Accent3 8 2 2" xfId="1424"/>
    <cellStyle name="40% - Accent3 8 2 2 2" xfId="2885"/>
    <cellStyle name="40% - Accent3 8 2 3" xfId="2269"/>
    <cellStyle name="40% - Accent3 8 3" xfId="822"/>
    <cellStyle name="40% - Accent3 8 3 2" xfId="2283"/>
    <cellStyle name="40% - Accent3 8 4" xfId="1658"/>
    <cellStyle name="40% - Accent3 9" xfId="503"/>
    <cellStyle name="40% - Accent3 9 2" xfId="1119"/>
    <cellStyle name="40% - Accent3 9 2 2" xfId="2580"/>
    <cellStyle name="40% - Accent3 9 3" xfId="1964"/>
    <cellStyle name="40% - Accent4" xfId="39" builtinId="43" customBuiltin="1"/>
    <cellStyle name="40% - Accent4 10" xfId="826"/>
    <cellStyle name="40% - Accent4 10 2" xfId="2287"/>
    <cellStyle name="40% - Accent4 11" xfId="1505"/>
    <cellStyle name="40% - Accent4 2" xfId="60"/>
    <cellStyle name="40% - Accent4 2 10" xfId="1521"/>
    <cellStyle name="40% - Accent4 2 2" xfId="91"/>
    <cellStyle name="40% - Accent4 2 2 2" xfId="411"/>
    <cellStyle name="40% - Accent4 2 2 2 2" xfId="717"/>
    <cellStyle name="40% - Accent4 2 2 2 2 2" xfId="1333"/>
    <cellStyle name="40% - Accent4 2 2 2 2 2 2" xfId="2794"/>
    <cellStyle name="40% - Accent4 2 2 2 2 3" xfId="2178"/>
    <cellStyle name="40% - Accent4 2 2 2 3" xfId="1027"/>
    <cellStyle name="40% - Accent4 2 2 2 3 2" xfId="2488"/>
    <cellStyle name="40% - Accent4 2 2 2 4" xfId="1872"/>
    <cellStyle name="40% - Accent4 2 2 3" xfId="296"/>
    <cellStyle name="40% - Accent4 2 2 3 2" xfId="1218"/>
    <cellStyle name="40% - Accent4 2 2 3 2 2" xfId="2679"/>
    <cellStyle name="40% - Accent4 2 2 3 3" xfId="1757"/>
    <cellStyle name="40% - Accent4 2 2 4" xfId="602"/>
    <cellStyle name="40% - Accent4 2 2 4 2" xfId="2063"/>
    <cellStyle name="40% - Accent4 2 2 5" xfId="873"/>
    <cellStyle name="40% - Accent4 2 2 5 2" xfId="2334"/>
    <cellStyle name="40% - Accent4 2 2 6" xfId="1552"/>
    <cellStyle name="40% - Accent4 2 3" xfId="123"/>
    <cellStyle name="40% - Accent4 2 3 2" xfId="443"/>
    <cellStyle name="40% - Accent4 2 3 2 2" xfId="749"/>
    <cellStyle name="40% - Accent4 2 3 2 2 2" xfId="1365"/>
    <cellStyle name="40% - Accent4 2 3 2 2 2 2" xfId="2826"/>
    <cellStyle name="40% - Accent4 2 3 2 2 3" xfId="2210"/>
    <cellStyle name="40% - Accent4 2 3 2 3" xfId="1059"/>
    <cellStyle name="40% - Accent4 2 3 2 3 2" xfId="2520"/>
    <cellStyle name="40% - Accent4 2 3 2 4" xfId="1904"/>
    <cellStyle name="40% - Accent4 2 3 3" xfId="316"/>
    <cellStyle name="40% - Accent4 2 3 3 2" xfId="1238"/>
    <cellStyle name="40% - Accent4 2 3 3 2 2" xfId="2699"/>
    <cellStyle name="40% - Accent4 2 3 3 3" xfId="1777"/>
    <cellStyle name="40% - Accent4 2 3 4" xfId="622"/>
    <cellStyle name="40% - Accent4 2 3 4 2" xfId="2083"/>
    <cellStyle name="40% - Accent4 2 3 5" xfId="905"/>
    <cellStyle name="40% - Accent4 2 3 5 2" xfId="2366"/>
    <cellStyle name="40% - Accent4 2 3 6" xfId="1584"/>
    <cellStyle name="40% - Accent4 2 4" xfId="169"/>
    <cellStyle name="40% - Accent4 2 4 2" xfId="489"/>
    <cellStyle name="40% - Accent4 2 4 2 2" xfId="795"/>
    <cellStyle name="40% - Accent4 2 4 2 2 2" xfId="1411"/>
    <cellStyle name="40% - Accent4 2 4 2 2 2 2" xfId="2872"/>
    <cellStyle name="40% - Accent4 2 4 2 2 3" xfId="2256"/>
    <cellStyle name="40% - Accent4 2 4 2 3" xfId="1105"/>
    <cellStyle name="40% - Accent4 2 4 2 3 2" xfId="2566"/>
    <cellStyle name="40% - Accent4 2 4 2 4" xfId="1950"/>
    <cellStyle name="40% - Accent4 2 4 3" xfId="265"/>
    <cellStyle name="40% - Accent4 2 4 3 2" xfId="1187"/>
    <cellStyle name="40% - Accent4 2 4 3 2 2" xfId="2648"/>
    <cellStyle name="40% - Accent4 2 4 3 3" xfId="1726"/>
    <cellStyle name="40% - Accent4 2 4 4" xfId="571"/>
    <cellStyle name="40% - Accent4 2 4 4 2" xfId="2032"/>
    <cellStyle name="40% - Accent4 2 4 5" xfId="951"/>
    <cellStyle name="40% - Accent4 2 4 5 2" xfId="2412"/>
    <cellStyle name="40% - Accent4 2 4 6" xfId="1630"/>
    <cellStyle name="40% - Accent4 2 5" xfId="348"/>
    <cellStyle name="40% - Accent4 2 5 2" xfId="654"/>
    <cellStyle name="40% - Accent4 2 5 2 2" xfId="1270"/>
    <cellStyle name="40% - Accent4 2 5 2 2 2" xfId="2731"/>
    <cellStyle name="40% - Accent4 2 5 2 3" xfId="2115"/>
    <cellStyle name="40% - Accent4 2 5 3" xfId="996"/>
    <cellStyle name="40% - Accent4 2 5 3 2" xfId="2457"/>
    <cellStyle name="40% - Accent4 2 5 4" xfId="1809"/>
    <cellStyle name="40% - Accent4 2 6" xfId="380"/>
    <cellStyle name="40% - Accent4 2 6 2" xfId="686"/>
    <cellStyle name="40% - Accent4 2 6 2 2" xfId="2147"/>
    <cellStyle name="40% - Accent4 2 6 3" xfId="1302"/>
    <cellStyle name="40% - Accent4 2 6 3 2" xfId="2763"/>
    <cellStyle name="40% - Accent4 2 6 4" xfId="1841"/>
    <cellStyle name="40% - Accent4 2 7" xfId="232"/>
    <cellStyle name="40% - Accent4 2 7 2" xfId="1154"/>
    <cellStyle name="40% - Accent4 2 7 2 2" xfId="2615"/>
    <cellStyle name="40% - Accent4 2 7 3" xfId="1693"/>
    <cellStyle name="40% - Accent4 2 8" xfId="538"/>
    <cellStyle name="40% - Accent4 2 8 2" xfId="1999"/>
    <cellStyle name="40% - Accent4 2 9" xfId="842"/>
    <cellStyle name="40% - Accent4 2 9 2" xfId="2303"/>
    <cellStyle name="40% - Accent4 3" xfId="75"/>
    <cellStyle name="40% - Accent4 3 2" xfId="280"/>
    <cellStyle name="40% - Accent4 3 2 2" xfId="586"/>
    <cellStyle name="40% - Accent4 3 2 2 2" xfId="1202"/>
    <cellStyle name="40% - Accent4 3 2 2 2 2" xfId="2663"/>
    <cellStyle name="40% - Accent4 3 2 2 3" xfId="2047"/>
    <cellStyle name="40% - Accent4 3 2 3" xfId="1011"/>
    <cellStyle name="40% - Accent4 3 2 3 2" xfId="2472"/>
    <cellStyle name="40% - Accent4 3 2 4" xfId="1741"/>
    <cellStyle name="40% - Accent4 3 3" xfId="395"/>
    <cellStyle name="40% - Accent4 3 3 2" xfId="701"/>
    <cellStyle name="40% - Accent4 3 3 2 2" xfId="2162"/>
    <cellStyle name="40% - Accent4 3 3 3" xfId="1317"/>
    <cellStyle name="40% - Accent4 3 3 3 2" xfId="2778"/>
    <cellStyle name="40% - Accent4 3 3 4" xfId="1856"/>
    <cellStyle name="40% - Accent4 3 4" xfId="216"/>
    <cellStyle name="40% - Accent4 3 4 2" xfId="1138"/>
    <cellStyle name="40% - Accent4 3 4 2 2" xfId="2599"/>
    <cellStyle name="40% - Accent4 3 4 3" xfId="1677"/>
    <cellStyle name="40% - Accent4 3 5" xfId="522"/>
    <cellStyle name="40% - Accent4 3 5 2" xfId="1983"/>
    <cellStyle name="40% - Accent4 3 6" xfId="857"/>
    <cellStyle name="40% - Accent4 3 6 2" xfId="2318"/>
    <cellStyle name="40% - Accent4 3 7" xfId="1536"/>
    <cellStyle name="40% - Accent4 4" xfId="107"/>
    <cellStyle name="40% - Accent4 4 2" xfId="427"/>
    <cellStyle name="40% - Accent4 4 2 2" xfId="733"/>
    <cellStyle name="40% - Accent4 4 2 2 2" xfId="1349"/>
    <cellStyle name="40% - Accent4 4 2 2 2 2" xfId="2810"/>
    <cellStyle name="40% - Accent4 4 2 2 3" xfId="2194"/>
    <cellStyle name="40% - Accent4 4 2 3" xfId="1043"/>
    <cellStyle name="40% - Accent4 4 2 3 2" xfId="2504"/>
    <cellStyle name="40% - Accent4 4 2 4" xfId="1888"/>
    <cellStyle name="40% - Accent4 4 3" xfId="249"/>
    <cellStyle name="40% - Accent4 4 3 2" xfId="1171"/>
    <cellStyle name="40% - Accent4 4 3 2 2" xfId="2632"/>
    <cellStyle name="40% - Accent4 4 3 3" xfId="1710"/>
    <cellStyle name="40% - Accent4 4 4" xfId="555"/>
    <cellStyle name="40% - Accent4 4 4 2" xfId="2016"/>
    <cellStyle name="40% - Accent4 4 5" xfId="889"/>
    <cellStyle name="40% - Accent4 4 5 2" xfId="2350"/>
    <cellStyle name="40% - Accent4 4 6" xfId="1568"/>
    <cellStyle name="40% - Accent4 5" xfId="138"/>
    <cellStyle name="40% - Accent4 5 2" xfId="458"/>
    <cellStyle name="40% - Accent4 5 2 2" xfId="764"/>
    <cellStyle name="40% - Accent4 5 2 2 2" xfId="1380"/>
    <cellStyle name="40% - Accent4 5 2 2 2 2" xfId="2841"/>
    <cellStyle name="40% - Accent4 5 2 2 3" xfId="2225"/>
    <cellStyle name="40% - Accent4 5 2 3" xfId="1074"/>
    <cellStyle name="40% - Accent4 5 2 3 2" xfId="2535"/>
    <cellStyle name="40% - Accent4 5 2 4" xfId="1919"/>
    <cellStyle name="40% - Accent4 5 3" xfId="332"/>
    <cellStyle name="40% - Accent4 5 3 2" xfId="1254"/>
    <cellStyle name="40% - Accent4 5 3 2 2" xfId="2715"/>
    <cellStyle name="40% - Accent4 5 3 3" xfId="1793"/>
    <cellStyle name="40% - Accent4 5 4" xfId="638"/>
    <cellStyle name="40% - Accent4 5 4 2" xfId="2099"/>
    <cellStyle name="40% - Accent4 5 5" xfId="920"/>
    <cellStyle name="40% - Accent4 5 5 2" xfId="2381"/>
    <cellStyle name="40% - Accent4 5 6" xfId="1599"/>
    <cellStyle name="40% - Accent4 6" xfId="153"/>
    <cellStyle name="40% - Accent4 6 2" xfId="473"/>
    <cellStyle name="40% - Accent4 6 2 2" xfId="1089"/>
    <cellStyle name="40% - Accent4 6 2 2 2" xfId="2550"/>
    <cellStyle name="40% - Accent4 6 2 3" xfId="1934"/>
    <cellStyle name="40% - Accent4 6 3" xfId="779"/>
    <cellStyle name="40% - Accent4 6 3 2" xfId="1395"/>
    <cellStyle name="40% - Accent4 6 3 2 2" xfId="2856"/>
    <cellStyle name="40% - Accent4 6 3 3" xfId="2240"/>
    <cellStyle name="40% - Accent4 6 4" xfId="935"/>
    <cellStyle name="40% - Accent4 6 4 2" xfId="2396"/>
    <cellStyle name="40% - Accent4 6 5" xfId="1614"/>
    <cellStyle name="40% - Accent4 7" xfId="184"/>
    <cellStyle name="40% - Accent4 7 2" xfId="364"/>
    <cellStyle name="40% - Accent4 7 2 2" xfId="1286"/>
    <cellStyle name="40% - Accent4 7 2 2 2" xfId="2747"/>
    <cellStyle name="40% - Accent4 7 2 3" xfId="1825"/>
    <cellStyle name="40% - Accent4 7 3" xfId="670"/>
    <cellStyle name="40% - Accent4 7 3 2" xfId="2131"/>
    <cellStyle name="40% - Accent4 7 4" xfId="966"/>
    <cellStyle name="40% - Accent4 7 4 2" xfId="2427"/>
    <cellStyle name="40% - Accent4 7 5" xfId="1645"/>
    <cellStyle name="40% - Accent4 8" xfId="199"/>
    <cellStyle name="40% - Accent4 8 2" xfId="810"/>
    <cellStyle name="40% - Accent4 8 2 2" xfId="1426"/>
    <cellStyle name="40% - Accent4 8 2 2 2" xfId="2887"/>
    <cellStyle name="40% - Accent4 8 2 3" xfId="2271"/>
    <cellStyle name="40% - Accent4 8 3" xfId="978"/>
    <cellStyle name="40% - Accent4 8 3 2" xfId="2439"/>
    <cellStyle name="40% - Accent4 8 4" xfId="1660"/>
    <cellStyle name="40% - Accent4 9" xfId="505"/>
    <cellStyle name="40% - Accent4 9 2" xfId="1121"/>
    <cellStyle name="40% - Accent4 9 2 2" xfId="2582"/>
    <cellStyle name="40% - Accent4 9 3" xfId="1966"/>
    <cellStyle name="40% - Accent5" xfId="43" builtinId="47" customBuiltin="1"/>
    <cellStyle name="40% - Accent5 10" xfId="828"/>
    <cellStyle name="40% - Accent5 10 2" xfId="2289"/>
    <cellStyle name="40% - Accent5 11" xfId="1507"/>
    <cellStyle name="40% - Accent5 2" xfId="62"/>
    <cellStyle name="40% - Accent5 2 10" xfId="1523"/>
    <cellStyle name="40% - Accent5 2 2" xfId="93"/>
    <cellStyle name="40% - Accent5 2 2 2" xfId="413"/>
    <cellStyle name="40% - Accent5 2 2 2 2" xfId="719"/>
    <cellStyle name="40% - Accent5 2 2 2 2 2" xfId="1335"/>
    <cellStyle name="40% - Accent5 2 2 2 2 2 2" xfId="2796"/>
    <cellStyle name="40% - Accent5 2 2 2 2 3" xfId="2180"/>
    <cellStyle name="40% - Accent5 2 2 2 3" xfId="1029"/>
    <cellStyle name="40% - Accent5 2 2 2 3 2" xfId="2490"/>
    <cellStyle name="40% - Accent5 2 2 2 4" xfId="1874"/>
    <cellStyle name="40% - Accent5 2 2 3" xfId="298"/>
    <cellStyle name="40% - Accent5 2 2 3 2" xfId="1220"/>
    <cellStyle name="40% - Accent5 2 2 3 2 2" xfId="2681"/>
    <cellStyle name="40% - Accent5 2 2 3 3" xfId="1759"/>
    <cellStyle name="40% - Accent5 2 2 4" xfId="604"/>
    <cellStyle name="40% - Accent5 2 2 4 2" xfId="2065"/>
    <cellStyle name="40% - Accent5 2 2 5" xfId="875"/>
    <cellStyle name="40% - Accent5 2 2 5 2" xfId="2336"/>
    <cellStyle name="40% - Accent5 2 2 6" xfId="1554"/>
    <cellStyle name="40% - Accent5 2 3" xfId="125"/>
    <cellStyle name="40% - Accent5 2 3 2" xfId="445"/>
    <cellStyle name="40% - Accent5 2 3 2 2" xfId="751"/>
    <cellStyle name="40% - Accent5 2 3 2 2 2" xfId="1367"/>
    <cellStyle name="40% - Accent5 2 3 2 2 2 2" xfId="2828"/>
    <cellStyle name="40% - Accent5 2 3 2 2 3" xfId="2212"/>
    <cellStyle name="40% - Accent5 2 3 2 3" xfId="1061"/>
    <cellStyle name="40% - Accent5 2 3 2 3 2" xfId="2522"/>
    <cellStyle name="40% - Accent5 2 3 2 4" xfId="1906"/>
    <cellStyle name="40% - Accent5 2 3 3" xfId="318"/>
    <cellStyle name="40% - Accent5 2 3 3 2" xfId="1240"/>
    <cellStyle name="40% - Accent5 2 3 3 2 2" xfId="2701"/>
    <cellStyle name="40% - Accent5 2 3 3 3" xfId="1779"/>
    <cellStyle name="40% - Accent5 2 3 4" xfId="624"/>
    <cellStyle name="40% - Accent5 2 3 4 2" xfId="2085"/>
    <cellStyle name="40% - Accent5 2 3 5" xfId="907"/>
    <cellStyle name="40% - Accent5 2 3 5 2" xfId="2368"/>
    <cellStyle name="40% - Accent5 2 3 6" xfId="1586"/>
    <cellStyle name="40% - Accent5 2 4" xfId="171"/>
    <cellStyle name="40% - Accent5 2 4 2" xfId="491"/>
    <cellStyle name="40% - Accent5 2 4 2 2" xfId="797"/>
    <cellStyle name="40% - Accent5 2 4 2 2 2" xfId="1413"/>
    <cellStyle name="40% - Accent5 2 4 2 2 2 2" xfId="2874"/>
    <cellStyle name="40% - Accent5 2 4 2 2 3" xfId="2258"/>
    <cellStyle name="40% - Accent5 2 4 2 3" xfId="1107"/>
    <cellStyle name="40% - Accent5 2 4 2 3 2" xfId="2568"/>
    <cellStyle name="40% - Accent5 2 4 2 4" xfId="1952"/>
    <cellStyle name="40% - Accent5 2 4 3" xfId="267"/>
    <cellStyle name="40% - Accent5 2 4 3 2" xfId="1189"/>
    <cellStyle name="40% - Accent5 2 4 3 2 2" xfId="2650"/>
    <cellStyle name="40% - Accent5 2 4 3 3" xfId="1728"/>
    <cellStyle name="40% - Accent5 2 4 4" xfId="573"/>
    <cellStyle name="40% - Accent5 2 4 4 2" xfId="2034"/>
    <cellStyle name="40% - Accent5 2 4 5" xfId="953"/>
    <cellStyle name="40% - Accent5 2 4 5 2" xfId="2414"/>
    <cellStyle name="40% - Accent5 2 4 6" xfId="1632"/>
    <cellStyle name="40% - Accent5 2 5" xfId="350"/>
    <cellStyle name="40% - Accent5 2 5 2" xfId="656"/>
    <cellStyle name="40% - Accent5 2 5 2 2" xfId="1272"/>
    <cellStyle name="40% - Accent5 2 5 2 2 2" xfId="2733"/>
    <cellStyle name="40% - Accent5 2 5 2 3" xfId="2117"/>
    <cellStyle name="40% - Accent5 2 5 3" xfId="998"/>
    <cellStyle name="40% - Accent5 2 5 3 2" xfId="2459"/>
    <cellStyle name="40% - Accent5 2 5 4" xfId="1811"/>
    <cellStyle name="40% - Accent5 2 6" xfId="382"/>
    <cellStyle name="40% - Accent5 2 6 2" xfId="688"/>
    <cellStyle name="40% - Accent5 2 6 2 2" xfId="2149"/>
    <cellStyle name="40% - Accent5 2 6 3" xfId="1304"/>
    <cellStyle name="40% - Accent5 2 6 3 2" xfId="2765"/>
    <cellStyle name="40% - Accent5 2 6 4" xfId="1843"/>
    <cellStyle name="40% - Accent5 2 7" xfId="234"/>
    <cellStyle name="40% - Accent5 2 7 2" xfId="1156"/>
    <cellStyle name="40% - Accent5 2 7 2 2" xfId="2617"/>
    <cellStyle name="40% - Accent5 2 7 3" xfId="1695"/>
    <cellStyle name="40% - Accent5 2 8" xfId="540"/>
    <cellStyle name="40% - Accent5 2 8 2" xfId="2001"/>
    <cellStyle name="40% - Accent5 2 9" xfId="844"/>
    <cellStyle name="40% - Accent5 2 9 2" xfId="2305"/>
    <cellStyle name="40% - Accent5 3" xfId="77"/>
    <cellStyle name="40% - Accent5 3 2" xfId="282"/>
    <cellStyle name="40% - Accent5 3 2 2" xfId="588"/>
    <cellStyle name="40% - Accent5 3 2 2 2" xfId="1204"/>
    <cellStyle name="40% - Accent5 3 2 2 2 2" xfId="2665"/>
    <cellStyle name="40% - Accent5 3 2 2 3" xfId="2049"/>
    <cellStyle name="40% - Accent5 3 2 3" xfId="1013"/>
    <cellStyle name="40% - Accent5 3 2 3 2" xfId="2474"/>
    <cellStyle name="40% - Accent5 3 2 4" xfId="1743"/>
    <cellStyle name="40% - Accent5 3 3" xfId="397"/>
    <cellStyle name="40% - Accent5 3 3 2" xfId="703"/>
    <cellStyle name="40% - Accent5 3 3 2 2" xfId="2164"/>
    <cellStyle name="40% - Accent5 3 3 3" xfId="1319"/>
    <cellStyle name="40% - Accent5 3 3 3 2" xfId="2780"/>
    <cellStyle name="40% - Accent5 3 3 4" xfId="1858"/>
    <cellStyle name="40% - Accent5 3 4" xfId="218"/>
    <cellStyle name="40% - Accent5 3 4 2" xfId="1140"/>
    <cellStyle name="40% - Accent5 3 4 2 2" xfId="2601"/>
    <cellStyle name="40% - Accent5 3 4 3" xfId="1679"/>
    <cellStyle name="40% - Accent5 3 5" xfId="524"/>
    <cellStyle name="40% - Accent5 3 5 2" xfId="1985"/>
    <cellStyle name="40% - Accent5 3 6" xfId="859"/>
    <cellStyle name="40% - Accent5 3 6 2" xfId="2320"/>
    <cellStyle name="40% - Accent5 3 7" xfId="1538"/>
    <cellStyle name="40% - Accent5 4" xfId="109"/>
    <cellStyle name="40% - Accent5 4 2" xfId="429"/>
    <cellStyle name="40% - Accent5 4 2 2" xfId="735"/>
    <cellStyle name="40% - Accent5 4 2 2 2" xfId="1351"/>
    <cellStyle name="40% - Accent5 4 2 2 2 2" xfId="2812"/>
    <cellStyle name="40% - Accent5 4 2 2 3" xfId="2196"/>
    <cellStyle name="40% - Accent5 4 2 3" xfId="1045"/>
    <cellStyle name="40% - Accent5 4 2 3 2" xfId="2506"/>
    <cellStyle name="40% - Accent5 4 2 4" xfId="1890"/>
    <cellStyle name="40% - Accent5 4 3" xfId="251"/>
    <cellStyle name="40% - Accent5 4 3 2" xfId="1173"/>
    <cellStyle name="40% - Accent5 4 3 2 2" xfId="2634"/>
    <cellStyle name="40% - Accent5 4 3 3" xfId="1712"/>
    <cellStyle name="40% - Accent5 4 4" xfId="557"/>
    <cellStyle name="40% - Accent5 4 4 2" xfId="2018"/>
    <cellStyle name="40% - Accent5 4 5" xfId="891"/>
    <cellStyle name="40% - Accent5 4 5 2" xfId="2352"/>
    <cellStyle name="40% - Accent5 4 6" xfId="1570"/>
    <cellStyle name="40% - Accent5 5" xfId="140"/>
    <cellStyle name="40% - Accent5 5 2" xfId="460"/>
    <cellStyle name="40% - Accent5 5 2 2" xfId="766"/>
    <cellStyle name="40% - Accent5 5 2 2 2" xfId="1382"/>
    <cellStyle name="40% - Accent5 5 2 2 2 2" xfId="2843"/>
    <cellStyle name="40% - Accent5 5 2 2 3" xfId="2227"/>
    <cellStyle name="40% - Accent5 5 2 3" xfId="1076"/>
    <cellStyle name="40% - Accent5 5 2 3 2" xfId="2537"/>
    <cellStyle name="40% - Accent5 5 2 4" xfId="1921"/>
    <cellStyle name="40% - Accent5 5 3" xfId="334"/>
    <cellStyle name="40% - Accent5 5 3 2" xfId="1256"/>
    <cellStyle name="40% - Accent5 5 3 2 2" xfId="2717"/>
    <cellStyle name="40% - Accent5 5 3 3" xfId="1795"/>
    <cellStyle name="40% - Accent5 5 4" xfId="640"/>
    <cellStyle name="40% - Accent5 5 4 2" xfId="2101"/>
    <cellStyle name="40% - Accent5 5 5" xfId="922"/>
    <cellStyle name="40% - Accent5 5 5 2" xfId="2383"/>
    <cellStyle name="40% - Accent5 5 6" xfId="1601"/>
    <cellStyle name="40% - Accent5 6" xfId="155"/>
    <cellStyle name="40% - Accent5 6 2" xfId="475"/>
    <cellStyle name="40% - Accent5 6 2 2" xfId="1091"/>
    <cellStyle name="40% - Accent5 6 2 2 2" xfId="2552"/>
    <cellStyle name="40% - Accent5 6 2 3" xfId="1936"/>
    <cellStyle name="40% - Accent5 6 3" xfId="781"/>
    <cellStyle name="40% - Accent5 6 3 2" xfId="1397"/>
    <cellStyle name="40% - Accent5 6 3 2 2" xfId="2858"/>
    <cellStyle name="40% - Accent5 6 3 3" xfId="2242"/>
    <cellStyle name="40% - Accent5 6 4" xfId="937"/>
    <cellStyle name="40% - Accent5 6 4 2" xfId="2398"/>
    <cellStyle name="40% - Accent5 6 5" xfId="1616"/>
    <cellStyle name="40% - Accent5 7" xfId="186"/>
    <cellStyle name="40% - Accent5 7 2" xfId="366"/>
    <cellStyle name="40% - Accent5 7 2 2" xfId="1288"/>
    <cellStyle name="40% - Accent5 7 2 2 2" xfId="2749"/>
    <cellStyle name="40% - Accent5 7 2 3" xfId="1827"/>
    <cellStyle name="40% - Accent5 7 3" xfId="672"/>
    <cellStyle name="40% - Accent5 7 3 2" xfId="2133"/>
    <cellStyle name="40% - Accent5 7 4" xfId="968"/>
    <cellStyle name="40% - Accent5 7 4 2" xfId="2429"/>
    <cellStyle name="40% - Accent5 7 5" xfId="1647"/>
    <cellStyle name="40% - Accent5 8" xfId="201"/>
    <cellStyle name="40% - Accent5 8 2" xfId="812"/>
    <cellStyle name="40% - Accent5 8 2 2" xfId="1428"/>
    <cellStyle name="40% - Accent5 8 2 2 2" xfId="2889"/>
    <cellStyle name="40% - Accent5 8 2 3" xfId="2273"/>
    <cellStyle name="40% - Accent5 8 3" xfId="971"/>
    <cellStyle name="40% - Accent5 8 3 2" xfId="2432"/>
    <cellStyle name="40% - Accent5 8 4" xfId="1662"/>
    <cellStyle name="40% - Accent5 9" xfId="507"/>
    <cellStyle name="40% - Accent5 9 2" xfId="1123"/>
    <cellStyle name="40% - Accent5 9 2 2" xfId="2584"/>
    <cellStyle name="40% - Accent5 9 3" xfId="1968"/>
    <cellStyle name="40% - Accent6" xfId="47" builtinId="51" customBuiltin="1"/>
    <cellStyle name="40% - Accent6 10" xfId="830"/>
    <cellStyle name="40% - Accent6 10 2" xfId="2291"/>
    <cellStyle name="40% - Accent6 11" xfId="1509"/>
    <cellStyle name="40% - Accent6 2" xfId="64"/>
    <cellStyle name="40% - Accent6 2 10" xfId="1525"/>
    <cellStyle name="40% - Accent6 2 2" xfId="95"/>
    <cellStyle name="40% - Accent6 2 2 2" xfId="415"/>
    <cellStyle name="40% - Accent6 2 2 2 2" xfId="721"/>
    <cellStyle name="40% - Accent6 2 2 2 2 2" xfId="1337"/>
    <cellStyle name="40% - Accent6 2 2 2 2 2 2" xfId="2798"/>
    <cellStyle name="40% - Accent6 2 2 2 2 3" xfId="2182"/>
    <cellStyle name="40% - Accent6 2 2 2 3" xfId="1031"/>
    <cellStyle name="40% - Accent6 2 2 2 3 2" xfId="2492"/>
    <cellStyle name="40% - Accent6 2 2 2 4" xfId="1876"/>
    <cellStyle name="40% - Accent6 2 2 3" xfId="300"/>
    <cellStyle name="40% - Accent6 2 2 3 2" xfId="1222"/>
    <cellStyle name="40% - Accent6 2 2 3 2 2" xfId="2683"/>
    <cellStyle name="40% - Accent6 2 2 3 3" xfId="1761"/>
    <cellStyle name="40% - Accent6 2 2 4" xfId="606"/>
    <cellStyle name="40% - Accent6 2 2 4 2" xfId="2067"/>
    <cellStyle name="40% - Accent6 2 2 5" xfId="877"/>
    <cellStyle name="40% - Accent6 2 2 5 2" xfId="2338"/>
    <cellStyle name="40% - Accent6 2 2 6" xfId="1556"/>
    <cellStyle name="40% - Accent6 2 3" xfId="127"/>
    <cellStyle name="40% - Accent6 2 3 2" xfId="447"/>
    <cellStyle name="40% - Accent6 2 3 2 2" xfId="753"/>
    <cellStyle name="40% - Accent6 2 3 2 2 2" xfId="1369"/>
    <cellStyle name="40% - Accent6 2 3 2 2 2 2" xfId="2830"/>
    <cellStyle name="40% - Accent6 2 3 2 2 3" xfId="2214"/>
    <cellStyle name="40% - Accent6 2 3 2 3" xfId="1063"/>
    <cellStyle name="40% - Accent6 2 3 2 3 2" xfId="2524"/>
    <cellStyle name="40% - Accent6 2 3 2 4" xfId="1908"/>
    <cellStyle name="40% - Accent6 2 3 3" xfId="320"/>
    <cellStyle name="40% - Accent6 2 3 3 2" xfId="1242"/>
    <cellStyle name="40% - Accent6 2 3 3 2 2" xfId="2703"/>
    <cellStyle name="40% - Accent6 2 3 3 3" xfId="1781"/>
    <cellStyle name="40% - Accent6 2 3 4" xfId="626"/>
    <cellStyle name="40% - Accent6 2 3 4 2" xfId="2087"/>
    <cellStyle name="40% - Accent6 2 3 5" xfId="909"/>
    <cellStyle name="40% - Accent6 2 3 5 2" xfId="2370"/>
    <cellStyle name="40% - Accent6 2 3 6" xfId="1588"/>
    <cellStyle name="40% - Accent6 2 4" xfId="173"/>
    <cellStyle name="40% - Accent6 2 4 2" xfId="493"/>
    <cellStyle name="40% - Accent6 2 4 2 2" xfId="799"/>
    <cellStyle name="40% - Accent6 2 4 2 2 2" xfId="1415"/>
    <cellStyle name="40% - Accent6 2 4 2 2 2 2" xfId="2876"/>
    <cellStyle name="40% - Accent6 2 4 2 2 3" xfId="2260"/>
    <cellStyle name="40% - Accent6 2 4 2 3" xfId="1109"/>
    <cellStyle name="40% - Accent6 2 4 2 3 2" xfId="2570"/>
    <cellStyle name="40% - Accent6 2 4 2 4" xfId="1954"/>
    <cellStyle name="40% - Accent6 2 4 3" xfId="269"/>
    <cellStyle name="40% - Accent6 2 4 3 2" xfId="1191"/>
    <cellStyle name="40% - Accent6 2 4 3 2 2" xfId="2652"/>
    <cellStyle name="40% - Accent6 2 4 3 3" xfId="1730"/>
    <cellStyle name="40% - Accent6 2 4 4" xfId="575"/>
    <cellStyle name="40% - Accent6 2 4 4 2" xfId="2036"/>
    <cellStyle name="40% - Accent6 2 4 5" xfId="955"/>
    <cellStyle name="40% - Accent6 2 4 5 2" xfId="2416"/>
    <cellStyle name="40% - Accent6 2 4 6" xfId="1634"/>
    <cellStyle name="40% - Accent6 2 5" xfId="352"/>
    <cellStyle name="40% - Accent6 2 5 2" xfId="658"/>
    <cellStyle name="40% - Accent6 2 5 2 2" xfId="1274"/>
    <cellStyle name="40% - Accent6 2 5 2 2 2" xfId="2735"/>
    <cellStyle name="40% - Accent6 2 5 2 3" xfId="2119"/>
    <cellStyle name="40% - Accent6 2 5 3" xfId="1000"/>
    <cellStyle name="40% - Accent6 2 5 3 2" xfId="2461"/>
    <cellStyle name="40% - Accent6 2 5 4" xfId="1813"/>
    <cellStyle name="40% - Accent6 2 6" xfId="384"/>
    <cellStyle name="40% - Accent6 2 6 2" xfId="690"/>
    <cellStyle name="40% - Accent6 2 6 2 2" xfId="2151"/>
    <cellStyle name="40% - Accent6 2 6 3" xfId="1306"/>
    <cellStyle name="40% - Accent6 2 6 3 2" xfId="2767"/>
    <cellStyle name="40% - Accent6 2 6 4" xfId="1845"/>
    <cellStyle name="40% - Accent6 2 7" xfId="236"/>
    <cellStyle name="40% - Accent6 2 7 2" xfId="1158"/>
    <cellStyle name="40% - Accent6 2 7 2 2" xfId="2619"/>
    <cellStyle name="40% - Accent6 2 7 3" xfId="1697"/>
    <cellStyle name="40% - Accent6 2 8" xfId="542"/>
    <cellStyle name="40% - Accent6 2 8 2" xfId="2003"/>
    <cellStyle name="40% - Accent6 2 9" xfId="846"/>
    <cellStyle name="40% - Accent6 2 9 2" xfId="2307"/>
    <cellStyle name="40% - Accent6 3" xfId="79"/>
    <cellStyle name="40% - Accent6 3 2" xfId="284"/>
    <cellStyle name="40% - Accent6 3 2 2" xfId="590"/>
    <cellStyle name="40% - Accent6 3 2 2 2" xfId="1206"/>
    <cellStyle name="40% - Accent6 3 2 2 2 2" xfId="2667"/>
    <cellStyle name="40% - Accent6 3 2 2 3" xfId="2051"/>
    <cellStyle name="40% - Accent6 3 2 3" xfId="1015"/>
    <cellStyle name="40% - Accent6 3 2 3 2" xfId="2476"/>
    <cellStyle name="40% - Accent6 3 2 4" xfId="1745"/>
    <cellStyle name="40% - Accent6 3 3" xfId="399"/>
    <cellStyle name="40% - Accent6 3 3 2" xfId="705"/>
    <cellStyle name="40% - Accent6 3 3 2 2" xfId="2166"/>
    <cellStyle name="40% - Accent6 3 3 3" xfId="1321"/>
    <cellStyle name="40% - Accent6 3 3 3 2" xfId="2782"/>
    <cellStyle name="40% - Accent6 3 3 4" xfId="1860"/>
    <cellStyle name="40% - Accent6 3 4" xfId="220"/>
    <cellStyle name="40% - Accent6 3 4 2" xfId="1142"/>
    <cellStyle name="40% - Accent6 3 4 2 2" xfId="2603"/>
    <cellStyle name="40% - Accent6 3 4 3" xfId="1681"/>
    <cellStyle name="40% - Accent6 3 5" xfId="526"/>
    <cellStyle name="40% - Accent6 3 5 2" xfId="1987"/>
    <cellStyle name="40% - Accent6 3 6" xfId="861"/>
    <cellStyle name="40% - Accent6 3 6 2" xfId="2322"/>
    <cellStyle name="40% - Accent6 3 7" xfId="1540"/>
    <cellStyle name="40% - Accent6 4" xfId="111"/>
    <cellStyle name="40% - Accent6 4 2" xfId="431"/>
    <cellStyle name="40% - Accent6 4 2 2" xfId="737"/>
    <cellStyle name="40% - Accent6 4 2 2 2" xfId="1353"/>
    <cellStyle name="40% - Accent6 4 2 2 2 2" xfId="2814"/>
    <cellStyle name="40% - Accent6 4 2 2 3" xfId="2198"/>
    <cellStyle name="40% - Accent6 4 2 3" xfId="1047"/>
    <cellStyle name="40% - Accent6 4 2 3 2" xfId="2508"/>
    <cellStyle name="40% - Accent6 4 2 4" xfId="1892"/>
    <cellStyle name="40% - Accent6 4 3" xfId="253"/>
    <cellStyle name="40% - Accent6 4 3 2" xfId="1175"/>
    <cellStyle name="40% - Accent6 4 3 2 2" xfId="2636"/>
    <cellStyle name="40% - Accent6 4 3 3" xfId="1714"/>
    <cellStyle name="40% - Accent6 4 4" xfId="559"/>
    <cellStyle name="40% - Accent6 4 4 2" xfId="2020"/>
    <cellStyle name="40% - Accent6 4 5" xfId="893"/>
    <cellStyle name="40% - Accent6 4 5 2" xfId="2354"/>
    <cellStyle name="40% - Accent6 4 6" xfId="1572"/>
    <cellStyle name="40% - Accent6 5" xfId="142"/>
    <cellStyle name="40% - Accent6 5 2" xfId="462"/>
    <cellStyle name="40% - Accent6 5 2 2" xfId="768"/>
    <cellStyle name="40% - Accent6 5 2 2 2" xfId="1384"/>
    <cellStyle name="40% - Accent6 5 2 2 2 2" xfId="2845"/>
    <cellStyle name="40% - Accent6 5 2 2 3" xfId="2229"/>
    <cellStyle name="40% - Accent6 5 2 3" xfId="1078"/>
    <cellStyle name="40% - Accent6 5 2 3 2" xfId="2539"/>
    <cellStyle name="40% - Accent6 5 2 4" xfId="1923"/>
    <cellStyle name="40% - Accent6 5 3" xfId="336"/>
    <cellStyle name="40% - Accent6 5 3 2" xfId="1258"/>
    <cellStyle name="40% - Accent6 5 3 2 2" xfId="2719"/>
    <cellStyle name="40% - Accent6 5 3 3" xfId="1797"/>
    <cellStyle name="40% - Accent6 5 4" xfId="642"/>
    <cellStyle name="40% - Accent6 5 4 2" xfId="2103"/>
    <cellStyle name="40% - Accent6 5 5" xfId="924"/>
    <cellStyle name="40% - Accent6 5 5 2" xfId="2385"/>
    <cellStyle name="40% - Accent6 5 6" xfId="1603"/>
    <cellStyle name="40% - Accent6 6" xfId="157"/>
    <cellStyle name="40% - Accent6 6 2" xfId="477"/>
    <cellStyle name="40% - Accent6 6 2 2" xfId="1093"/>
    <cellStyle name="40% - Accent6 6 2 2 2" xfId="2554"/>
    <cellStyle name="40% - Accent6 6 2 3" xfId="1938"/>
    <cellStyle name="40% - Accent6 6 3" xfId="783"/>
    <cellStyle name="40% - Accent6 6 3 2" xfId="1399"/>
    <cellStyle name="40% - Accent6 6 3 2 2" xfId="2860"/>
    <cellStyle name="40% - Accent6 6 3 3" xfId="2244"/>
    <cellStyle name="40% - Accent6 6 4" xfId="939"/>
    <cellStyle name="40% - Accent6 6 4 2" xfId="2400"/>
    <cellStyle name="40% - Accent6 6 5" xfId="1618"/>
    <cellStyle name="40% - Accent6 7" xfId="188"/>
    <cellStyle name="40% - Accent6 7 2" xfId="368"/>
    <cellStyle name="40% - Accent6 7 2 2" xfId="1290"/>
    <cellStyle name="40% - Accent6 7 2 2 2" xfId="2751"/>
    <cellStyle name="40% - Accent6 7 2 3" xfId="1829"/>
    <cellStyle name="40% - Accent6 7 3" xfId="674"/>
    <cellStyle name="40% - Accent6 7 3 2" xfId="2135"/>
    <cellStyle name="40% - Accent6 7 4" xfId="970"/>
    <cellStyle name="40% - Accent6 7 4 2" xfId="2431"/>
    <cellStyle name="40% - Accent6 7 5" xfId="1649"/>
    <cellStyle name="40% - Accent6 8" xfId="203"/>
    <cellStyle name="40% - Accent6 8 2" xfId="814"/>
    <cellStyle name="40% - Accent6 8 2 2" xfId="1430"/>
    <cellStyle name="40% - Accent6 8 2 2 2" xfId="2891"/>
    <cellStyle name="40% - Accent6 8 2 3" xfId="2275"/>
    <cellStyle name="40% - Accent6 8 3" xfId="984"/>
    <cellStyle name="40% - Accent6 8 3 2" xfId="2445"/>
    <cellStyle name="40% - Accent6 8 4" xfId="1664"/>
    <cellStyle name="40% - Accent6 9" xfId="509"/>
    <cellStyle name="40% - Accent6 9 2" xfId="1125"/>
    <cellStyle name="40% - Accent6 9 2 2" xfId="2586"/>
    <cellStyle name="40% - Accent6 9 3" xfId="1970"/>
    <cellStyle name="60% - Accent1" xfId="28" builtinId="32" customBuiltin="1"/>
    <cellStyle name="60% - Accent2" xfId="32" builtinId="36" customBuiltin="1"/>
    <cellStyle name="60% - Accent3" xfId="36" builtinId="40" customBuiltin="1"/>
    <cellStyle name="60% - Accent4" xfId="40" builtinId="44" customBuiltin="1"/>
    <cellStyle name="60% - Accent5" xfId="44" builtinId="48" customBuiltin="1"/>
    <cellStyle name="60% - Accent6" xfId="48" builtinId="52" customBuiltin="1"/>
    <cellStyle name="Accent1" xfId="25" builtinId="29" customBuiltin="1"/>
    <cellStyle name="Accent2" xfId="29" builtinId="33" customBuiltin="1"/>
    <cellStyle name="Accent3" xfId="33" builtinId="37" customBuiltin="1"/>
    <cellStyle name="Accent4" xfId="37" builtinId="41" customBuiltin="1"/>
    <cellStyle name="Accent5" xfId="41" builtinId="45" customBuiltin="1"/>
    <cellStyle name="Accent6" xfId="45" builtinId="49" customBuiltin="1"/>
    <cellStyle name="Bad" xfId="15" builtinId="27" customBuiltin="1"/>
    <cellStyle name="Calculation" xfId="19" builtinId="22" customBuiltin="1"/>
    <cellStyle name="Check Cell" xfId="21" builtinId="23" customBuiltin="1"/>
    <cellStyle name="Explanatory Text" xfId="23" builtinId="53" customBuilti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Good" xfId="14" builtinId="26" customBuiltin="1"/>
    <cellStyle name="Heading 1" xfId="10" builtinId="16" customBuiltin="1"/>
    <cellStyle name="Heading 2" xfId="11" builtinId="17" customBuiltin="1"/>
    <cellStyle name="Heading 3" xfId="12" builtinId="18" customBuiltin="1"/>
    <cellStyle name="Heading 4" xfId="13" builtinId="19" customBuilti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Input" xfId="17" builtinId="20" customBuiltin="1"/>
    <cellStyle name="Linked Cell" xfId="20" builtinId="24" customBuiltin="1"/>
    <cellStyle name="Neutral" xfId="16" builtinId="28" customBuiltin="1"/>
    <cellStyle name="Normal" xfId="0" builtinId="0"/>
    <cellStyle name="Normal 2" xfId="1"/>
    <cellStyle name="Normal 2 2" xfId="7"/>
    <cellStyle name="Normal 2 3" xfId="4"/>
    <cellStyle name="Normal 3" xfId="2"/>
    <cellStyle name="Normal 3 10" xfId="815"/>
    <cellStyle name="Normal 3 10 2" xfId="2276"/>
    <cellStyle name="Normal 3 11" xfId="1495"/>
    <cellStyle name="Normal 3 2" xfId="8"/>
    <cellStyle name="Normal 3 2 10" xfId="817"/>
    <cellStyle name="Normal 3 2 10 2" xfId="2278"/>
    <cellStyle name="Normal 3 2 11" xfId="1497"/>
    <cellStyle name="Normal 3 2 2" xfId="96"/>
    <cellStyle name="Normal 3 2 2 2" xfId="128"/>
    <cellStyle name="Normal 3 2 2 2 2" xfId="448"/>
    <cellStyle name="Normal 3 2 2 2 2 2" xfId="754"/>
    <cellStyle name="Normal 3 2 2 2 2 2 2" xfId="1370"/>
    <cellStyle name="Normal 3 2 2 2 2 2 2 2" xfId="2831"/>
    <cellStyle name="Normal 3 2 2 2 2 2 3" xfId="2215"/>
    <cellStyle name="Normal 3 2 2 2 2 3" xfId="1064"/>
    <cellStyle name="Normal 3 2 2 2 2 3 2" xfId="2525"/>
    <cellStyle name="Normal 3 2 2 2 2 4" xfId="1909"/>
    <cellStyle name="Normal 3 2 2 2 3" xfId="321"/>
    <cellStyle name="Normal 3 2 2 2 3 2" xfId="1243"/>
    <cellStyle name="Normal 3 2 2 2 3 2 2" xfId="2704"/>
    <cellStyle name="Normal 3 2 2 2 3 3" xfId="1782"/>
    <cellStyle name="Normal 3 2 2 2 4" xfId="627"/>
    <cellStyle name="Normal 3 2 2 2 4 2" xfId="2088"/>
    <cellStyle name="Normal 3 2 2 2 5" xfId="910"/>
    <cellStyle name="Normal 3 2 2 2 5 2" xfId="2371"/>
    <cellStyle name="Normal 3 2 2 2 6" xfId="1589"/>
    <cellStyle name="Normal 3 2 2 3" xfId="174"/>
    <cellStyle name="Normal 3 2 2 3 2" xfId="494"/>
    <cellStyle name="Normal 3 2 2 3 2 2" xfId="800"/>
    <cellStyle name="Normal 3 2 2 3 2 2 2" xfId="1416"/>
    <cellStyle name="Normal 3 2 2 3 2 2 2 2" xfId="2877"/>
    <cellStyle name="Normal 3 2 2 3 2 2 3" xfId="2261"/>
    <cellStyle name="Normal 3 2 2 3 2 3" xfId="1110"/>
    <cellStyle name="Normal 3 2 2 3 2 3 2" xfId="2571"/>
    <cellStyle name="Normal 3 2 2 3 2 4" xfId="1955"/>
    <cellStyle name="Normal 3 2 2 3 3" xfId="301"/>
    <cellStyle name="Normal 3 2 2 3 3 2" xfId="1223"/>
    <cellStyle name="Normal 3 2 2 3 3 2 2" xfId="2684"/>
    <cellStyle name="Normal 3 2 2 3 3 3" xfId="1762"/>
    <cellStyle name="Normal 3 2 2 3 4" xfId="607"/>
    <cellStyle name="Normal 3 2 2 3 4 2" xfId="2068"/>
    <cellStyle name="Normal 3 2 2 3 5" xfId="956"/>
    <cellStyle name="Normal 3 2 2 3 5 2" xfId="2417"/>
    <cellStyle name="Normal 3 2 2 3 6" xfId="1635"/>
    <cellStyle name="Normal 3 2 2 4" xfId="353"/>
    <cellStyle name="Normal 3 2 2 4 2" xfId="659"/>
    <cellStyle name="Normal 3 2 2 4 2 2" xfId="1275"/>
    <cellStyle name="Normal 3 2 2 4 2 2 2" xfId="2736"/>
    <cellStyle name="Normal 3 2 2 4 2 3" xfId="2120"/>
    <cellStyle name="Normal 3 2 2 4 3" xfId="1032"/>
    <cellStyle name="Normal 3 2 2 4 3 2" xfId="2493"/>
    <cellStyle name="Normal 3 2 2 4 4" xfId="1814"/>
    <cellStyle name="Normal 3 2 2 5" xfId="416"/>
    <cellStyle name="Normal 3 2 2 5 2" xfId="722"/>
    <cellStyle name="Normal 3 2 2 5 2 2" xfId="2183"/>
    <cellStyle name="Normal 3 2 2 5 3" xfId="1338"/>
    <cellStyle name="Normal 3 2 2 5 3 2" xfId="2799"/>
    <cellStyle name="Normal 3 2 2 5 4" xfId="1877"/>
    <cellStyle name="Normal 3 2 2 6" xfId="208"/>
    <cellStyle name="Normal 3 2 2 6 2" xfId="1130"/>
    <cellStyle name="Normal 3 2 2 6 2 2" xfId="2591"/>
    <cellStyle name="Normal 3 2 2 6 3" xfId="1669"/>
    <cellStyle name="Normal 3 2 2 7" xfId="514"/>
    <cellStyle name="Normal 3 2 2 7 2" xfId="1975"/>
    <cellStyle name="Normal 3 2 2 8" xfId="878"/>
    <cellStyle name="Normal 3 2 2 8 2" xfId="2339"/>
    <cellStyle name="Normal 3 2 2 9" xfId="1557"/>
    <cellStyle name="Normal 3 2 3" xfId="67"/>
    <cellStyle name="Normal 3 2 3 2" xfId="387"/>
    <cellStyle name="Normal 3 2 3 2 2" xfId="693"/>
    <cellStyle name="Normal 3 2 3 2 2 2" xfId="1309"/>
    <cellStyle name="Normal 3 2 3 2 2 2 2" xfId="2770"/>
    <cellStyle name="Normal 3 2 3 2 2 3" xfId="2154"/>
    <cellStyle name="Normal 3 2 3 2 3" xfId="1003"/>
    <cellStyle name="Normal 3 2 3 2 3 2" xfId="2464"/>
    <cellStyle name="Normal 3 2 3 2 4" xfId="1848"/>
    <cellStyle name="Normal 3 2 3 3" xfId="272"/>
    <cellStyle name="Normal 3 2 3 3 2" xfId="1194"/>
    <cellStyle name="Normal 3 2 3 3 2 2" xfId="2655"/>
    <cellStyle name="Normal 3 2 3 3 3" xfId="1733"/>
    <cellStyle name="Normal 3 2 3 4" xfId="578"/>
    <cellStyle name="Normal 3 2 3 4 2" xfId="2039"/>
    <cellStyle name="Normal 3 2 3 5" xfId="849"/>
    <cellStyle name="Normal 3 2 3 5 2" xfId="2310"/>
    <cellStyle name="Normal 3 2 3 6" xfId="1528"/>
    <cellStyle name="Normal 3 2 4" xfId="99"/>
    <cellStyle name="Normal 3 2 4 2" xfId="419"/>
    <cellStyle name="Normal 3 2 4 2 2" xfId="725"/>
    <cellStyle name="Normal 3 2 4 2 2 2" xfId="1341"/>
    <cellStyle name="Normal 3 2 4 2 2 2 2" xfId="2802"/>
    <cellStyle name="Normal 3 2 4 2 2 3" xfId="2186"/>
    <cellStyle name="Normal 3 2 4 2 3" xfId="1035"/>
    <cellStyle name="Normal 3 2 4 2 3 2" xfId="2496"/>
    <cellStyle name="Normal 3 2 4 2 4" xfId="1880"/>
    <cellStyle name="Normal 3 2 4 3" xfId="304"/>
    <cellStyle name="Normal 3 2 4 3 2" xfId="1226"/>
    <cellStyle name="Normal 3 2 4 3 2 2" xfId="2687"/>
    <cellStyle name="Normal 3 2 4 3 3" xfId="1765"/>
    <cellStyle name="Normal 3 2 4 4" xfId="610"/>
    <cellStyle name="Normal 3 2 4 4 2" xfId="2071"/>
    <cellStyle name="Normal 3 2 4 5" xfId="881"/>
    <cellStyle name="Normal 3 2 4 5 2" xfId="2342"/>
    <cellStyle name="Normal 3 2 4 6" xfId="1560"/>
    <cellStyle name="Normal 3 2 5" xfId="145"/>
    <cellStyle name="Normal 3 2 5 2" xfId="465"/>
    <cellStyle name="Normal 3 2 5 2 2" xfId="771"/>
    <cellStyle name="Normal 3 2 5 2 2 2" xfId="1387"/>
    <cellStyle name="Normal 3 2 5 2 2 2 2" xfId="2848"/>
    <cellStyle name="Normal 3 2 5 2 2 3" xfId="2232"/>
    <cellStyle name="Normal 3 2 5 2 3" xfId="1081"/>
    <cellStyle name="Normal 3 2 5 2 3 2" xfId="2542"/>
    <cellStyle name="Normal 3 2 5 2 4" xfId="1926"/>
    <cellStyle name="Normal 3 2 5 3" xfId="238"/>
    <cellStyle name="Normal 3 2 5 3 2" xfId="1160"/>
    <cellStyle name="Normal 3 2 5 3 2 2" xfId="2621"/>
    <cellStyle name="Normal 3 2 5 3 3" xfId="1699"/>
    <cellStyle name="Normal 3 2 5 4" xfId="544"/>
    <cellStyle name="Normal 3 2 5 4 2" xfId="2005"/>
    <cellStyle name="Normal 3 2 5 5" xfId="927"/>
    <cellStyle name="Normal 3 2 5 5 2" xfId="2388"/>
    <cellStyle name="Normal 3 2 5 6" xfId="1606"/>
    <cellStyle name="Normal 3 2 6" xfId="324"/>
    <cellStyle name="Normal 3 2 6 2" xfId="630"/>
    <cellStyle name="Normal 3 2 6 2 2" xfId="1246"/>
    <cellStyle name="Normal 3 2 6 2 2 2" xfId="2707"/>
    <cellStyle name="Normal 3 2 6 2 3" xfId="2091"/>
    <cellStyle name="Normal 3 2 6 3" xfId="979"/>
    <cellStyle name="Normal 3 2 6 3 2" xfId="2440"/>
    <cellStyle name="Normal 3 2 6 4" xfId="1785"/>
    <cellStyle name="Normal 3 2 7" xfId="356"/>
    <cellStyle name="Normal 3 2 7 2" xfId="662"/>
    <cellStyle name="Normal 3 2 7 2 2" xfId="2123"/>
    <cellStyle name="Normal 3 2 7 3" xfId="1278"/>
    <cellStyle name="Normal 3 2 7 3 2" xfId="2739"/>
    <cellStyle name="Normal 3 2 7 4" xfId="1817"/>
    <cellStyle name="Normal 3 2 8" xfId="191"/>
    <cellStyle name="Normal 3 2 8 2" xfId="1113"/>
    <cellStyle name="Normal 3 2 8 2 2" xfId="2574"/>
    <cellStyle name="Normal 3 2 8 3" xfId="1652"/>
    <cellStyle name="Normal 3 2 9" xfId="497"/>
    <cellStyle name="Normal 3 2 9 2" xfId="1958"/>
    <cellStyle name="Normal 3 3" xfId="65"/>
    <cellStyle name="Normal 3 3 2" xfId="270"/>
    <cellStyle name="Normal 3 3 2 2" xfId="576"/>
    <cellStyle name="Normal 3 3 2 2 2" xfId="1192"/>
    <cellStyle name="Normal 3 3 2 2 2 2" xfId="2653"/>
    <cellStyle name="Normal 3 3 2 2 3" xfId="2037"/>
    <cellStyle name="Normal 3 3 2 3" xfId="1001"/>
    <cellStyle name="Normal 3 3 2 3 2" xfId="2462"/>
    <cellStyle name="Normal 3 3 2 4" xfId="1731"/>
    <cellStyle name="Normal 3 3 3" xfId="385"/>
    <cellStyle name="Normal 3 3 3 2" xfId="691"/>
    <cellStyle name="Normal 3 3 3 2 2" xfId="2152"/>
    <cellStyle name="Normal 3 3 3 3" xfId="1307"/>
    <cellStyle name="Normal 3 3 3 3 2" xfId="2768"/>
    <cellStyle name="Normal 3 3 3 4" xfId="1846"/>
    <cellStyle name="Normal 3 3 4" xfId="206"/>
    <cellStyle name="Normal 3 3 4 2" xfId="1128"/>
    <cellStyle name="Normal 3 3 4 2 2" xfId="2589"/>
    <cellStyle name="Normal 3 3 4 3" xfId="1667"/>
    <cellStyle name="Normal 3 3 5" xfId="512"/>
    <cellStyle name="Normal 3 3 5 2" xfId="1973"/>
    <cellStyle name="Normal 3 3 6" xfId="847"/>
    <cellStyle name="Normal 3 3 6 2" xfId="2308"/>
    <cellStyle name="Normal 3 3 7" xfId="1526"/>
    <cellStyle name="Normal 3 4" xfId="97"/>
    <cellStyle name="Normal 3 4 2" xfId="417"/>
    <cellStyle name="Normal 3 4 2 2" xfId="723"/>
    <cellStyle name="Normal 3 4 2 2 2" xfId="1339"/>
    <cellStyle name="Normal 3 4 2 2 2 2" xfId="2800"/>
    <cellStyle name="Normal 3 4 2 2 3" xfId="2184"/>
    <cellStyle name="Normal 3 4 2 3" xfId="1033"/>
    <cellStyle name="Normal 3 4 2 3 2" xfId="2494"/>
    <cellStyle name="Normal 3 4 2 4" xfId="1878"/>
    <cellStyle name="Normal 3 4 3" xfId="302"/>
    <cellStyle name="Normal 3 4 3 2" xfId="1224"/>
    <cellStyle name="Normal 3 4 3 2 2" xfId="2685"/>
    <cellStyle name="Normal 3 4 3 3" xfId="1763"/>
    <cellStyle name="Normal 3 4 4" xfId="608"/>
    <cellStyle name="Normal 3 4 4 2" xfId="2069"/>
    <cellStyle name="Normal 3 4 5" xfId="879"/>
    <cellStyle name="Normal 3 4 5 2" xfId="2340"/>
    <cellStyle name="Normal 3 4 6" xfId="1558"/>
    <cellStyle name="Normal 3 5" xfId="143"/>
    <cellStyle name="Normal 3 5 2" xfId="463"/>
    <cellStyle name="Normal 3 5 2 2" xfId="769"/>
    <cellStyle name="Normal 3 5 2 2 2" xfId="1385"/>
    <cellStyle name="Normal 3 5 2 2 2 2" xfId="2846"/>
    <cellStyle name="Normal 3 5 2 2 3" xfId="2230"/>
    <cellStyle name="Normal 3 5 2 3" xfId="1079"/>
    <cellStyle name="Normal 3 5 2 3 2" xfId="2540"/>
    <cellStyle name="Normal 3 5 2 4" xfId="1924"/>
    <cellStyle name="Normal 3 5 3" xfId="239"/>
    <cellStyle name="Normal 3 5 3 2" xfId="1161"/>
    <cellStyle name="Normal 3 5 3 2 2" xfId="2622"/>
    <cellStyle name="Normal 3 5 3 3" xfId="1700"/>
    <cellStyle name="Normal 3 5 4" xfId="545"/>
    <cellStyle name="Normal 3 5 4 2" xfId="2006"/>
    <cellStyle name="Normal 3 5 5" xfId="925"/>
    <cellStyle name="Normal 3 5 5 2" xfId="2386"/>
    <cellStyle name="Normal 3 5 6" xfId="1604"/>
    <cellStyle name="Normal 3 6" xfId="322"/>
    <cellStyle name="Normal 3 6 2" xfId="628"/>
    <cellStyle name="Normal 3 6 2 2" xfId="1244"/>
    <cellStyle name="Normal 3 6 2 2 2" xfId="2705"/>
    <cellStyle name="Normal 3 6 2 3" xfId="2089"/>
    <cellStyle name="Normal 3 6 3" xfId="973"/>
    <cellStyle name="Normal 3 6 3 2" xfId="2434"/>
    <cellStyle name="Normal 3 6 4" xfId="1783"/>
    <cellStyle name="Normal 3 7" xfId="354"/>
    <cellStyle name="Normal 3 7 2" xfId="660"/>
    <cellStyle name="Normal 3 7 2 2" xfId="2121"/>
    <cellStyle name="Normal 3 7 3" xfId="1276"/>
    <cellStyle name="Normal 3 7 3 2" xfId="2737"/>
    <cellStyle name="Normal 3 7 4" xfId="1815"/>
    <cellStyle name="Normal 3 8" xfId="189"/>
    <cellStyle name="Normal 3 8 2" xfId="1111"/>
    <cellStyle name="Normal 3 8 2 2" xfId="2572"/>
    <cellStyle name="Normal 3 8 3" xfId="1650"/>
    <cellStyle name="Normal 3 9" xfId="495"/>
    <cellStyle name="Normal 3 9 2" xfId="1956"/>
    <cellStyle name="Normal 4" xfId="6"/>
    <cellStyle name="Normal 5" xfId="3"/>
    <cellStyle name="Normal 5 10" xfId="1496"/>
    <cellStyle name="Normal 5 2" xfId="66"/>
    <cellStyle name="Normal 5 2 2" xfId="271"/>
    <cellStyle name="Normal 5 2 2 2" xfId="577"/>
    <cellStyle name="Normal 5 2 2 2 2" xfId="1193"/>
    <cellStyle name="Normal 5 2 2 2 2 2" xfId="2654"/>
    <cellStyle name="Normal 5 2 2 2 3" xfId="2038"/>
    <cellStyle name="Normal 5 2 2 3" xfId="1002"/>
    <cellStyle name="Normal 5 2 2 3 2" xfId="2463"/>
    <cellStyle name="Normal 5 2 2 4" xfId="1732"/>
    <cellStyle name="Normal 5 2 3" xfId="386"/>
    <cellStyle name="Normal 5 2 3 2" xfId="692"/>
    <cellStyle name="Normal 5 2 3 2 2" xfId="2153"/>
    <cellStyle name="Normal 5 2 3 3" xfId="1308"/>
    <cellStyle name="Normal 5 2 3 3 2" xfId="2769"/>
    <cellStyle name="Normal 5 2 3 4" xfId="1847"/>
    <cellStyle name="Normal 5 2 4" xfId="207"/>
    <cellStyle name="Normal 5 2 4 2" xfId="1129"/>
    <cellStyle name="Normal 5 2 4 2 2" xfId="2590"/>
    <cellStyle name="Normal 5 2 4 3" xfId="1668"/>
    <cellStyle name="Normal 5 2 5" xfId="513"/>
    <cellStyle name="Normal 5 2 5 2" xfId="1974"/>
    <cellStyle name="Normal 5 2 6" xfId="848"/>
    <cellStyle name="Normal 5 2 6 2" xfId="2309"/>
    <cellStyle name="Normal 5 2 7" xfId="1527"/>
    <cellStyle name="Normal 5 3" xfId="98"/>
    <cellStyle name="Normal 5 3 2" xfId="418"/>
    <cellStyle name="Normal 5 3 2 2" xfId="724"/>
    <cellStyle name="Normal 5 3 2 2 2" xfId="1340"/>
    <cellStyle name="Normal 5 3 2 2 2 2" xfId="2801"/>
    <cellStyle name="Normal 5 3 2 2 3" xfId="2185"/>
    <cellStyle name="Normal 5 3 2 3" xfId="1034"/>
    <cellStyle name="Normal 5 3 2 3 2" xfId="2495"/>
    <cellStyle name="Normal 5 3 2 4" xfId="1879"/>
    <cellStyle name="Normal 5 3 3" xfId="303"/>
    <cellStyle name="Normal 5 3 3 2" xfId="1225"/>
    <cellStyle name="Normal 5 3 3 2 2" xfId="2686"/>
    <cellStyle name="Normal 5 3 3 3" xfId="1764"/>
    <cellStyle name="Normal 5 3 4" xfId="609"/>
    <cellStyle name="Normal 5 3 4 2" xfId="2070"/>
    <cellStyle name="Normal 5 3 5" xfId="880"/>
    <cellStyle name="Normal 5 3 5 2" xfId="2341"/>
    <cellStyle name="Normal 5 3 6" xfId="1559"/>
    <cellStyle name="Normal 5 4" xfId="144"/>
    <cellStyle name="Normal 5 4 2" xfId="464"/>
    <cellStyle name="Normal 5 4 2 2" xfId="770"/>
    <cellStyle name="Normal 5 4 2 2 2" xfId="1386"/>
    <cellStyle name="Normal 5 4 2 2 2 2" xfId="2847"/>
    <cellStyle name="Normal 5 4 2 2 3" xfId="2231"/>
    <cellStyle name="Normal 5 4 2 3" xfId="1080"/>
    <cellStyle name="Normal 5 4 2 3 2" xfId="2541"/>
    <cellStyle name="Normal 5 4 2 4" xfId="1925"/>
    <cellStyle name="Normal 5 4 3" xfId="240"/>
    <cellStyle name="Normal 5 4 3 2" xfId="1162"/>
    <cellStyle name="Normal 5 4 3 2 2" xfId="2623"/>
    <cellStyle name="Normal 5 4 3 3" xfId="1701"/>
    <cellStyle name="Normal 5 4 4" xfId="546"/>
    <cellStyle name="Normal 5 4 4 2" xfId="2007"/>
    <cellStyle name="Normal 5 4 5" xfId="926"/>
    <cellStyle name="Normal 5 4 5 2" xfId="2387"/>
    <cellStyle name="Normal 5 4 6" xfId="1605"/>
    <cellStyle name="Normal 5 5" xfId="323"/>
    <cellStyle name="Normal 5 5 2" xfId="629"/>
    <cellStyle name="Normal 5 5 2 2" xfId="1245"/>
    <cellStyle name="Normal 5 5 2 2 2" xfId="2706"/>
    <cellStyle name="Normal 5 5 2 3" xfId="2090"/>
    <cellStyle name="Normal 5 5 3" xfId="976"/>
    <cellStyle name="Normal 5 5 3 2" xfId="2437"/>
    <cellStyle name="Normal 5 5 4" xfId="1784"/>
    <cellStyle name="Normal 5 6" xfId="355"/>
    <cellStyle name="Normal 5 6 2" xfId="661"/>
    <cellStyle name="Normal 5 6 2 2" xfId="2122"/>
    <cellStyle name="Normal 5 6 3" xfId="1277"/>
    <cellStyle name="Normal 5 6 3 2" xfId="2738"/>
    <cellStyle name="Normal 5 6 4" xfId="1816"/>
    <cellStyle name="Normal 5 7" xfId="190"/>
    <cellStyle name="Normal 5 7 2" xfId="1112"/>
    <cellStyle name="Normal 5 7 2 2" xfId="2573"/>
    <cellStyle name="Normal 5 7 3" xfId="1651"/>
    <cellStyle name="Normal 5 8" xfId="496"/>
    <cellStyle name="Normal 5 8 2" xfId="1957"/>
    <cellStyle name="Normal 5 9" xfId="816"/>
    <cellStyle name="Normal 5 9 2" xfId="2277"/>
    <cellStyle name="Normal 6" xfId="49"/>
    <cellStyle name="Normal 6 10" xfId="1510"/>
    <cellStyle name="Normal 6 2" xfId="80"/>
    <cellStyle name="Normal 6 2 2" xfId="285"/>
    <cellStyle name="Normal 6 2 2 2" xfId="591"/>
    <cellStyle name="Normal 6 2 2 2 2" xfId="1207"/>
    <cellStyle name="Normal 6 2 2 2 2 2" xfId="2668"/>
    <cellStyle name="Normal 6 2 2 2 3" xfId="2052"/>
    <cellStyle name="Normal 6 2 2 3" xfId="1016"/>
    <cellStyle name="Normal 6 2 2 3 2" xfId="2477"/>
    <cellStyle name="Normal 6 2 2 4" xfId="1746"/>
    <cellStyle name="Normal 6 2 3" xfId="400"/>
    <cellStyle name="Normal 6 2 3 2" xfId="706"/>
    <cellStyle name="Normal 6 2 3 2 2" xfId="2167"/>
    <cellStyle name="Normal 6 2 3 3" xfId="1322"/>
    <cellStyle name="Normal 6 2 3 3 2" xfId="2783"/>
    <cellStyle name="Normal 6 2 3 4" xfId="1861"/>
    <cellStyle name="Normal 6 2 4" xfId="221"/>
    <cellStyle name="Normal 6 2 4 2" xfId="1143"/>
    <cellStyle name="Normal 6 2 4 2 2" xfId="2604"/>
    <cellStyle name="Normal 6 2 4 3" xfId="1682"/>
    <cellStyle name="Normal 6 2 5" xfId="527"/>
    <cellStyle name="Normal 6 2 5 2" xfId="1988"/>
    <cellStyle name="Normal 6 2 6" xfId="862"/>
    <cellStyle name="Normal 6 2 6 2" xfId="2323"/>
    <cellStyle name="Normal 6 2 7" xfId="1541"/>
    <cellStyle name="Normal 6 3" xfId="112"/>
    <cellStyle name="Normal 6 3 2" xfId="432"/>
    <cellStyle name="Normal 6 3 2 2" xfId="738"/>
    <cellStyle name="Normal 6 3 2 2 2" xfId="1354"/>
    <cellStyle name="Normal 6 3 2 2 2 2" xfId="2815"/>
    <cellStyle name="Normal 6 3 2 2 3" xfId="2199"/>
    <cellStyle name="Normal 6 3 2 3" xfId="1048"/>
    <cellStyle name="Normal 6 3 2 3 2" xfId="2509"/>
    <cellStyle name="Normal 6 3 2 4" xfId="1893"/>
    <cellStyle name="Normal 6 3 3" xfId="305"/>
    <cellStyle name="Normal 6 3 3 2" xfId="1227"/>
    <cellStyle name="Normal 6 3 3 2 2" xfId="2688"/>
    <cellStyle name="Normal 6 3 3 3" xfId="1766"/>
    <cellStyle name="Normal 6 3 4" xfId="611"/>
    <cellStyle name="Normal 6 3 4 2" xfId="2072"/>
    <cellStyle name="Normal 6 3 5" xfId="894"/>
    <cellStyle name="Normal 6 3 5 2" xfId="2355"/>
    <cellStyle name="Normal 6 3 6" xfId="1573"/>
    <cellStyle name="Normal 6 4" xfId="158"/>
    <cellStyle name="Normal 6 4 2" xfId="478"/>
    <cellStyle name="Normal 6 4 2 2" xfId="784"/>
    <cellStyle name="Normal 6 4 2 2 2" xfId="1400"/>
    <cellStyle name="Normal 6 4 2 2 2 2" xfId="2861"/>
    <cellStyle name="Normal 6 4 2 2 3" xfId="2245"/>
    <cellStyle name="Normal 6 4 2 3" xfId="1094"/>
    <cellStyle name="Normal 6 4 2 3 2" xfId="2555"/>
    <cellStyle name="Normal 6 4 2 4" xfId="1939"/>
    <cellStyle name="Normal 6 4 3" xfId="254"/>
    <cellStyle name="Normal 6 4 3 2" xfId="1176"/>
    <cellStyle name="Normal 6 4 3 2 2" xfId="2637"/>
    <cellStyle name="Normal 6 4 3 3" xfId="1715"/>
    <cellStyle name="Normal 6 4 4" xfId="560"/>
    <cellStyle name="Normal 6 4 4 2" xfId="2021"/>
    <cellStyle name="Normal 6 4 5" xfId="940"/>
    <cellStyle name="Normal 6 4 5 2" xfId="2401"/>
    <cellStyle name="Normal 6 4 6" xfId="1619"/>
    <cellStyle name="Normal 6 5" xfId="337"/>
    <cellStyle name="Normal 6 5 2" xfId="643"/>
    <cellStyle name="Normal 6 5 2 2" xfId="1259"/>
    <cellStyle name="Normal 6 5 2 2 2" xfId="2720"/>
    <cellStyle name="Normal 6 5 2 3" xfId="2104"/>
    <cellStyle name="Normal 6 5 3" xfId="985"/>
    <cellStyle name="Normal 6 5 3 2" xfId="2446"/>
    <cellStyle name="Normal 6 5 4" xfId="1798"/>
    <cellStyle name="Normal 6 6" xfId="369"/>
    <cellStyle name="Normal 6 6 2" xfId="675"/>
    <cellStyle name="Normal 6 6 2 2" xfId="2136"/>
    <cellStyle name="Normal 6 6 3" xfId="1291"/>
    <cellStyle name="Normal 6 6 3 2" xfId="2752"/>
    <cellStyle name="Normal 6 6 4" xfId="1830"/>
    <cellStyle name="Normal 6 7" xfId="204"/>
    <cellStyle name="Normal 6 7 2" xfId="1126"/>
    <cellStyle name="Normal 6 7 2 2" xfId="2587"/>
    <cellStyle name="Normal 6 7 3" xfId="1665"/>
    <cellStyle name="Normal 6 8" xfId="510"/>
    <cellStyle name="Normal 6 8 2" xfId="1971"/>
    <cellStyle name="Normal 6 9" xfId="831"/>
    <cellStyle name="Normal 6 9 2" xfId="2292"/>
    <cellStyle name="Normal 7" xfId="51"/>
    <cellStyle name="Normal 7 10" xfId="1512"/>
    <cellStyle name="Normal 7 2" xfId="82"/>
    <cellStyle name="Normal 7 2 2" xfId="402"/>
    <cellStyle name="Normal 7 2 2 2" xfId="708"/>
    <cellStyle name="Normal 7 2 2 2 2" xfId="1324"/>
    <cellStyle name="Normal 7 2 2 2 2 2" xfId="2785"/>
    <cellStyle name="Normal 7 2 2 2 3" xfId="2169"/>
    <cellStyle name="Normal 7 2 2 3" xfId="1018"/>
    <cellStyle name="Normal 7 2 2 3 2" xfId="2479"/>
    <cellStyle name="Normal 7 2 2 4" xfId="1863"/>
    <cellStyle name="Normal 7 2 3" xfId="287"/>
    <cellStyle name="Normal 7 2 3 2" xfId="1209"/>
    <cellStyle name="Normal 7 2 3 2 2" xfId="2670"/>
    <cellStyle name="Normal 7 2 3 3" xfId="1748"/>
    <cellStyle name="Normal 7 2 4" xfId="593"/>
    <cellStyle name="Normal 7 2 4 2" xfId="2054"/>
    <cellStyle name="Normal 7 2 5" xfId="864"/>
    <cellStyle name="Normal 7 2 5 2" xfId="2325"/>
    <cellStyle name="Normal 7 2 6" xfId="1543"/>
    <cellStyle name="Normal 7 3" xfId="114"/>
    <cellStyle name="Normal 7 3 2" xfId="434"/>
    <cellStyle name="Normal 7 3 2 2" xfId="740"/>
    <cellStyle name="Normal 7 3 2 2 2" xfId="1356"/>
    <cellStyle name="Normal 7 3 2 2 2 2" xfId="2817"/>
    <cellStyle name="Normal 7 3 2 2 3" xfId="2201"/>
    <cellStyle name="Normal 7 3 2 3" xfId="1050"/>
    <cellStyle name="Normal 7 3 2 3 2" xfId="2511"/>
    <cellStyle name="Normal 7 3 2 4" xfId="1895"/>
    <cellStyle name="Normal 7 3 3" xfId="307"/>
    <cellStyle name="Normal 7 3 3 2" xfId="1229"/>
    <cellStyle name="Normal 7 3 3 2 2" xfId="2690"/>
    <cellStyle name="Normal 7 3 3 3" xfId="1768"/>
    <cellStyle name="Normal 7 3 4" xfId="613"/>
    <cellStyle name="Normal 7 3 4 2" xfId="2074"/>
    <cellStyle name="Normal 7 3 5" xfId="896"/>
    <cellStyle name="Normal 7 3 5 2" xfId="2357"/>
    <cellStyle name="Normal 7 3 6" xfId="1575"/>
    <cellStyle name="Normal 7 4" xfId="160"/>
    <cellStyle name="Normal 7 4 2" xfId="480"/>
    <cellStyle name="Normal 7 4 2 2" xfId="786"/>
    <cellStyle name="Normal 7 4 2 2 2" xfId="1402"/>
    <cellStyle name="Normal 7 4 2 2 2 2" xfId="2863"/>
    <cellStyle name="Normal 7 4 2 2 3" xfId="2247"/>
    <cellStyle name="Normal 7 4 2 3" xfId="1096"/>
    <cellStyle name="Normal 7 4 2 3 2" xfId="2557"/>
    <cellStyle name="Normal 7 4 2 4" xfId="1941"/>
    <cellStyle name="Normal 7 4 3" xfId="256"/>
    <cellStyle name="Normal 7 4 3 2" xfId="1178"/>
    <cellStyle name="Normal 7 4 3 2 2" xfId="2639"/>
    <cellStyle name="Normal 7 4 3 3" xfId="1717"/>
    <cellStyle name="Normal 7 4 4" xfId="562"/>
    <cellStyle name="Normal 7 4 4 2" xfId="2023"/>
    <cellStyle name="Normal 7 4 5" xfId="942"/>
    <cellStyle name="Normal 7 4 5 2" xfId="2403"/>
    <cellStyle name="Normal 7 4 6" xfId="1621"/>
    <cellStyle name="Normal 7 5" xfId="339"/>
    <cellStyle name="Normal 7 5 2" xfId="645"/>
    <cellStyle name="Normal 7 5 2 2" xfId="1261"/>
    <cellStyle name="Normal 7 5 2 2 2" xfId="2722"/>
    <cellStyle name="Normal 7 5 2 3" xfId="2106"/>
    <cellStyle name="Normal 7 5 3" xfId="987"/>
    <cellStyle name="Normal 7 5 3 2" xfId="2448"/>
    <cellStyle name="Normal 7 5 4" xfId="1800"/>
    <cellStyle name="Normal 7 6" xfId="371"/>
    <cellStyle name="Normal 7 6 2" xfId="677"/>
    <cellStyle name="Normal 7 6 2 2" xfId="2138"/>
    <cellStyle name="Normal 7 6 3" xfId="1293"/>
    <cellStyle name="Normal 7 6 3 2" xfId="2754"/>
    <cellStyle name="Normal 7 6 4" xfId="1832"/>
    <cellStyle name="Normal 7 7" xfId="223"/>
    <cellStyle name="Normal 7 7 2" xfId="1145"/>
    <cellStyle name="Normal 7 7 2 2" xfId="2606"/>
    <cellStyle name="Normal 7 7 3" xfId="1684"/>
    <cellStyle name="Normal 7 8" xfId="529"/>
    <cellStyle name="Normal 7 8 2" xfId="1990"/>
    <cellStyle name="Normal 7 9" xfId="833"/>
    <cellStyle name="Normal 7 9 2" xfId="2294"/>
    <cellStyle name="Normal 8" xfId="129"/>
    <cellStyle name="Normal 8 2" xfId="449"/>
    <cellStyle name="Normal 8 2 2" xfId="755"/>
    <cellStyle name="Normal 8 2 2 2" xfId="1371"/>
    <cellStyle name="Normal 8 2 2 2 2" xfId="2832"/>
    <cellStyle name="Normal 8 2 2 3" xfId="2216"/>
    <cellStyle name="Normal 8 2 3" xfId="1065"/>
    <cellStyle name="Normal 8 2 3 2" xfId="2526"/>
    <cellStyle name="Normal 8 2 4" xfId="1910"/>
    <cellStyle name="Normal 8 3" xfId="237"/>
    <cellStyle name="Normal 8 3 2" xfId="1159"/>
    <cellStyle name="Normal 8 3 2 2" xfId="2620"/>
    <cellStyle name="Normal 8 3 3" xfId="1698"/>
    <cellStyle name="Normal 8 4" xfId="543"/>
    <cellStyle name="Normal 8 4 2" xfId="2004"/>
    <cellStyle name="Normal 8 5" xfId="911"/>
    <cellStyle name="Normal 8 5 2" xfId="2372"/>
    <cellStyle name="Normal 8 6" xfId="1590"/>
    <cellStyle name="Normal 9" xfId="175"/>
    <cellStyle name="Normal 9 2" xfId="801"/>
    <cellStyle name="Normal 9 2 2" xfId="1417"/>
    <cellStyle name="Normal 9 2 2 2" xfId="2878"/>
    <cellStyle name="Normal 9 2 3" xfId="2262"/>
    <cellStyle name="Normal 9 3" xfId="957"/>
    <cellStyle name="Normal 9 3 2" xfId="2418"/>
    <cellStyle name="Normal 9 4" xfId="1636"/>
    <cellStyle name="Note 2" xfId="50"/>
    <cellStyle name="Note 2 10" xfId="1511"/>
    <cellStyle name="Note 2 2" xfId="81"/>
    <cellStyle name="Note 2 2 2" xfId="286"/>
    <cellStyle name="Note 2 2 2 2" xfId="592"/>
    <cellStyle name="Note 2 2 2 2 2" xfId="1208"/>
    <cellStyle name="Note 2 2 2 2 2 2" xfId="2669"/>
    <cellStyle name="Note 2 2 2 2 3" xfId="2053"/>
    <cellStyle name="Note 2 2 2 3" xfId="1017"/>
    <cellStyle name="Note 2 2 2 3 2" xfId="2478"/>
    <cellStyle name="Note 2 2 2 4" xfId="1747"/>
    <cellStyle name="Note 2 2 3" xfId="401"/>
    <cellStyle name="Note 2 2 3 2" xfId="707"/>
    <cellStyle name="Note 2 2 3 2 2" xfId="2168"/>
    <cellStyle name="Note 2 2 3 3" xfId="1323"/>
    <cellStyle name="Note 2 2 3 3 2" xfId="2784"/>
    <cellStyle name="Note 2 2 3 4" xfId="1862"/>
    <cellStyle name="Note 2 2 4" xfId="222"/>
    <cellStyle name="Note 2 2 4 2" xfId="1144"/>
    <cellStyle name="Note 2 2 4 2 2" xfId="2605"/>
    <cellStyle name="Note 2 2 4 3" xfId="1683"/>
    <cellStyle name="Note 2 2 5" xfId="528"/>
    <cellStyle name="Note 2 2 5 2" xfId="1989"/>
    <cellStyle name="Note 2 2 6" xfId="863"/>
    <cellStyle name="Note 2 2 6 2" xfId="2324"/>
    <cellStyle name="Note 2 2 7" xfId="1542"/>
    <cellStyle name="Note 2 3" xfId="113"/>
    <cellStyle name="Note 2 3 2" xfId="433"/>
    <cellStyle name="Note 2 3 2 2" xfId="739"/>
    <cellStyle name="Note 2 3 2 2 2" xfId="1355"/>
    <cellStyle name="Note 2 3 2 2 2 2" xfId="2816"/>
    <cellStyle name="Note 2 3 2 2 3" xfId="2200"/>
    <cellStyle name="Note 2 3 2 3" xfId="1049"/>
    <cellStyle name="Note 2 3 2 3 2" xfId="2510"/>
    <cellStyle name="Note 2 3 2 4" xfId="1894"/>
    <cellStyle name="Note 2 3 3" xfId="306"/>
    <cellStyle name="Note 2 3 3 2" xfId="1228"/>
    <cellStyle name="Note 2 3 3 2 2" xfId="2689"/>
    <cellStyle name="Note 2 3 3 3" xfId="1767"/>
    <cellStyle name="Note 2 3 4" xfId="612"/>
    <cellStyle name="Note 2 3 4 2" xfId="2073"/>
    <cellStyle name="Note 2 3 5" xfId="895"/>
    <cellStyle name="Note 2 3 5 2" xfId="2356"/>
    <cellStyle name="Note 2 3 6" xfId="1574"/>
    <cellStyle name="Note 2 4" xfId="159"/>
    <cellStyle name="Note 2 4 2" xfId="479"/>
    <cellStyle name="Note 2 4 2 2" xfId="785"/>
    <cellStyle name="Note 2 4 2 2 2" xfId="1401"/>
    <cellStyle name="Note 2 4 2 2 2 2" xfId="2862"/>
    <cellStyle name="Note 2 4 2 2 3" xfId="2246"/>
    <cellStyle name="Note 2 4 2 3" xfId="1095"/>
    <cellStyle name="Note 2 4 2 3 2" xfId="2556"/>
    <cellStyle name="Note 2 4 2 4" xfId="1940"/>
    <cellStyle name="Note 2 4 3" xfId="255"/>
    <cellStyle name="Note 2 4 3 2" xfId="1177"/>
    <cellStyle name="Note 2 4 3 2 2" xfId="2638"/>
    <cellStyle name="Note 2 4 3 3" xfId="1716"/>
    <cellStyle name="Note 2 4 4" xfId="561"/>
    <cellStyle name="Note 2 4 4 2" xfId="2022"/>
    <cellStyle name="Note 2 4 5" xfId="941"/>
    <cellStyle name="Note 2 4 5 2" xfId="2402"/>
    <cellStyle name="Note 2 4 6" xfId="1620"/>
    <cellStyle name="Note 2 5" xfId="338"/>
    <cellStyle name="Note 2 5 2" xfId="644"/>
    <cellStyle name="Note 2 5 2 2" xfId="1260"/>
    <cellStyle name="Note 2 5 2 2 2" xfId="2721"/>
    <cellStyle name="Note 2 5 2 3" xfId="2105"/>
    <cellStyle name="Note 2 5 3" xfId="986"/>
    <cellStyle name="Note 2 5 3 2" xfId="2447"/>
    <cellStyle name="Note 2 5 4" xfId="1799"/>
    <cellStyle name="Note 2 6" xfId="370"/>
    <cellStyle name="Note 2 6 2" xfId="676"/>
    <cellStyle name="Note 2 6 2 2" xfId="2137"/>
    <cellStyle name="Note 2 6 3" xfId="1292"/>
    <cellStyle name="Note 2 6 3 2" xfId="2753"/>
    <cellStyle name="Note 2 6 4" xfId="1831"/>
    <cellStyle name="Note 2 7" xfId="205"/>
    <cellStyle name="Note 2 7 2" xfId="1127"/>
    <cellStyle name="Note 2 7 2 2" xfId="2588"/>
    <cellStyle name="Note 2 7 3" xfId="1666"/>
    <cellStyle name="Note 2 8" xfId="511"/>
    <cellStyle name="Note 2 8 2" xfId="1972"/>
    <cellStyle name="Note 2 9" xfId="832"/>
    <cellStyle name="Note 2 9 2" xfId="2293"/>
    <cellStyle name="Note 3" xfId="52"/>
    <cellStyle name="Note 3 10" xfId="1513"/>
    <cellStyle name="Note 3 2" xfId="83"/>
    <cellStyle name="Note 3 2 2" xfId="403"/>
    <cellStyle name="Note 3 2 2 2" xfId="709"/>
    <cellStyle name="Note 3 2 2 2 2" xfId="1325"/>
    <cellStyle name="Note 3 2 2 2 2 2" xfId="2786"/>
    <cellStyle name="Note 3 2 2 2 3" xfId="2170"/>
    <cellStyle name="Note 3 2 2 3" xfId="1019"/>
    <cellStyle name="Note 3 2 2 3 2" xfId="2480"/>
    <cellStyle name="Note 3 2 2 4" xfId="1864"/>
    <cellStyle name="Note 3 2 3" xfId="288"/>
    <cellStyle name="Note 3 2 3 2" xfId="1210"/>
    <cellStyle name="Note 3 2 3 2 2" xfId="2671"/>
    <cellStyle name="Note 3 2 3 3" xfId="1749"/>
    <cellStyle name="Note 3 2 4" xfId="594"/>
    <cellStyle name="Note 3 2 4 2" xfId="2055"/>
    <cellStyle name="Note 3 2 5" xfId="865"/>
    <cellStyle name="Note 3 2 5 2" xfId="2326"/>
    <cellStyle name="Note 3 2 6" xfId="1544"/>
    <cellStyle name="Note 3 3" xfId="115"/>
    <cellStyle name="Note 3 3 2" xfId="435"/>
    <cellStyle name="Note 3 3 2 2" xfId="741"/>
    <cellStyle name="Note 3 3 2 2 2" xfId="1357"/>
    <cellStyle name="Note 3 3 2 2 2 2" xfId="2818"/>
    <cellStyle name="Note 3 3 2 2 3" xfId="2202"/>
    <cellStyle name="Note 3 3 2 3" xfId="1051"/>
    <cellStyle name="Note 3 3 2 3 2" xfId="2512"/>
    <cellStyle name="Note 3 3 2 4" xfId="1896"/>
    <cellStyle name="Note 3 3 3" xfId="308"/>
    <cellStyle name="Note 3 3 3 2" xfId="1230"/>
    <cellStyle name="Note 3 3 3 2 2" xfId="2691"/>
    <cellStyle name="Note 3 3 3 3" xfId="1769"/>
    <cellStyle name="Note 3 3 4" xfId="614"/>
    <cellStyle name="Note 3 3 4 2" xfId="2075"/>
    <cellStyle name="Note 3 3 5" xfId="897"/>
    <cellStyle name="Note 3 3 5 2" xfId="2358"/>
    <cellStyle name="Note 3 3 6" xfId="1576"/>
    <cellStyle name="Note 3 4" xfId="161"/>
    <cellStyle name="Note 3 4 2" xfId="481"/>
    <cellStyle name="Note 3 4 2 2" xfId="787"/>
    <cellStyle name="Note 3 4 2 2 2" xfId="1403"/>
    <cellStyle name="Note 3 4 2 2 2 2" xfId="2864"/>
    <cellStyle name="Note 3 4 2 2 3" xfId="2248"/>
    <cellStyle name="Note 3 4 2 3" xfId="1097"/>
    <cellStyle name="Note 3 4 2 3 2" xfId="2558"/>
    <cellStyle name="Note 3 4 2 4" xfId="1942"/>
    <cellStyle name="Note 3 4 3" xfId="257"/>
    <cellStyle name="Note 3 4 3 2" xfId="1179"/>
    <cellStyle name="Note 3 4 3 2 2" xfId="2640"/>
    <cellStyle name="Note 3 4 3 3" xfId="1718"/>
    <cellStyle name="Note 3 4 4" xfId="563"/>
    <cellStyle name="Note 3 4 4 2" xfId="2024"/>
    <cellStyle name="Note 3 4 5" xfId="943"/>
    <cellStyle name="Note 3 4 5 2" xfId="2404"/>
    <cellStyle name="Note 3 4 6" xfId="1622"/>
    <cellStyle name="Note 3 5" xfId="340"/>
    <cellStyle name="Note 3 5 2" xfId="646"/>
    <cellStyle name="Note 3 5 2 2" xfId="1262"/>
    <cellStyle name="Note 3 5 2 2 2" xfId="2723"/>
    <cellStyle name="Note 3 5 2 3" xfId="2107"/>
    <cellStyle name="Note 3 5 3" xfId="988"/>
    <cellStyle name="Note 3 5 3 2" xfId="2449"/>
    <cellStyle name="Note 3 5 4" xfId="1801"/>
    <cellStyle name="Note 3 6" xfId="372"/>
    <cellStyle name="Note 3 6 2" xfId="678"/>
    <cellStyle name="Note 3 6 2 2" xfId="2139"/>
    <cellStyle name="Note 3 6 3" xfId="1294"/>
    <cellStyle name="Note 3 6 3 2" xfId="2755"/>
    <cellStyle name="Note 3 6 4" xfId="1833"/>
    <cellStyle name="Note 3 7" xfId="224"/>
    <cellStyle name="Note 3 7 2" xfId="1146"/>
    <cellStyle name="Note 3 7 2 2" xfId="2607"/>
    <cellStyle name="Note 3 7 3" xfId="1685"/>
    <cellStyle name="Note 3 8" xfId="530"/>
    <cellStyle name="Note 3 8 2" xfId="1991"/>
    <cellStyle name="Note 3 9" xfId="834"/>
    <cellStyle name="Note 3 9 2" xfId="2295"/>
    <cellStyle name="Note 4" xfId="130"/>
    <cellStyle name="Note 4 2" xfId="450"/>
    <cellStyle name="Note 4 2 2" xfId="756"/>
    <cellStyle name="Note 4 2 2 2" xfId="1372"/>
    <cellStyle name="Note 4 2 2 2 2" xfId="2833"/>
    <cellStyle name="Note 4 2 2 3" xfId="2217"/>
    <cellStyle name="Note 4 2 3" xfId="1066"/>
    <cellStyle name="Note 4 2 3 2" xfId="2527"/>
    <cellStyle name="Note 4 2 4" xfId="1911"/>
    <cellStyle name="Note 4 3" xfId="241"/>
    <cellStyle name="Note 4 3 2" xfId="1163"/>
    <cellStyle name="Note 4 3 2 2" xfId="2624"/>
    <cellStyle name="Note 4 3 3" xfId="1702"/>
    <cellStyle name="Note 4 4" xfId="547"/>
    <cellStyle name="Note 4 4 2" xfId="2008"/>
    <cellStyle name="Note 4 5" xfId="912"/>
    <cellStyle name="Note 4 5 2" xfId="2373"/>
    <cellStyle name="Note 4 6" xfId="1591"/>
    <cellStyle name="Note 5" xfId="176"/>
    <cellStyle name="Note 5 2" xfId="802"/>
    <cellStyle name="Note 5 2 2" xfId="1418"/>
    <cellStyle name="Note 5 2 2 2" xfId="2879"/>
    <cellStyle name="Note 5 2 3" xfId="2263"/>
    <cellStyle name="Note 5 3" xfId="958"/>
    <cellStyle name="Note 5 3 2" xfId="2419"/>
    <cellStyle name="Note 5 4" xfId="1637"/>
    <cellStyle name="Output" xfId="18" builtinId="21" customBuiltin="1"/>
    <cellStyle name="Percent 2" xfId="5"/>
    <cellStyle name="Title" xfId="9" builtinId="15" customBuiltin="1"/>
    <cellStyle name="Total" xfId="24" builtinId="25" customBuiltin="1"/>
    <cellStyle name="Warning Text" xfId="22" builtinId="11" customBuiltin="1"/>
  </cellStyles>
  <dxfs count="14"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000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7CE"/>
      <color rgb="FF9C0006"/>
      <color rgb="FFFF9BA7"/>
      <color rgb="FFFCD5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Custom 3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9BBB59"/>
      </a:accent1>
      <a:accent2>
        <a:srgbClr val="C0504D"/>
      </a:accent2>
      <a:accent3>
        <a:srgbClr val="4F81BD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N44"/>
  <sheetViews>
    <sheetView workbookViewId="0">
      <selection activeCell="H17" sqref="H17"/>
    </sheetView>
  </sheetViews>
  <sheetFormatPr defaultColWidth="9" defaultRowHeight="12" x14ac:dyDescent="0.2"/>
  <cols>
    <col min="1" max="1" width="4.125" style="1" customWidth="1"/>
    <col min="2" max="2" width="33.5" style="1" customWidth="1"/>
    <col min="3" max="5" width="8.875" style="1" customWidth="1"/>
    <col min="6" max="7" width="9" style="1"/>
    <col min="8" max="8" width="34" style="1" bestFit="1" customWidth="1"/>
    <col min="9" max="9" width="9" style="1"/>
    <col min="10" max="10" width="36" style="1" customWidth="1"/>
    <col min="11" max="16384" width="9" style="1"/>
  </cols>
  <sheetData>
    <row r="1" spans="1:14" ht="12" customHeight="1" thickBot="1" x14ac:dyDescent="0.3">
      <c r="A1" s="1" t="s">
        <v>31</v>
      </c>
      <c r="J1"/>
      <c r="K1"/>
      <c r="L1"/>
      <c r="M1"/>
      <c r="N1"/>
    </row>
    <row r="2" spans="1:14" ht="12" customHeight="1" x14ac:dyDescent="0.25">
      <c r="C2" s="148" t="s">
        <v>18</v>
      </c>
      <c r="D2" s="149"/>
      <c r="E2" s="150"/>
      <c r="G2" s="12" t="s">
        <v>13</v>
      </c>
      <c r="H2" s="12" t="s">
        <v>68</v>
      </c>
      <c r="J2"/>
      <c r="K2"/>
      <c r="L2"/>
      <c r="M2"/>
      <c r="N2"/>
    </row>
    <row r="3" spans="1:14" ht="12" customHeight="1" thickBot="1" x14ac:dyDescent="0.3">
      <c r="C3" s="14" t="s">
        <v>57</v>
      </c>
      <c r="D3" s="28" t="s">
        <v>58</v>
      </c>
      <c r="E3" s="13" t="s">
        <v>59</v>
      </c>
      <c r="G3" s="12" t="s">
        <v>14</v>
      </c>
      <c r="H3" s="12" t="s">
        <v>69</v>
      </c>
      <c r="J3"/>
      <c r="K3"/>
      <c r="L3"/>
      <c r="M3"/>
      <c r="N3"/>
    </row>
    <row r="4" spans="1:14" ht="12" customHeight="1" x14ac:dyDescent="0.25">
      <c r="B4" s="18" t="s">
        <v>64</v>
      </c>
      <c r="C4" s="29" t="e">
        <f ca="1">'AI-SCC'!T107</f>
        <v>#NAME?</v>
      </c>
      <c r="D4" s="46" t="e">
        <f ca="1">'AI-SCC'!U107</f>
        <v>#NAME?</v>
      </c>
      <c r="E4" s="44" t="e">
        <f ca="1">'AI-SCC'!V107</f>
        <v>#NAME?</v>
      </c>
      <c r="J4"/>
      <c r="K4"/>
      <c r="L4"/>
      <c r="M4"/>
      <c r="N4"/>
    </row>
    <row r="5" spans="1:14" ht="12" customHeight="1" x14ac:dyDescent="0.25">
      <c r="B5" s="19" t="s">
        <v>65</v>
      </c>
      <c r="C5" s="10" t="e">
        <f ca="1">'AI-SCC'!T108</f>
        <v>#NAME?</v>
      </c>
      <c r="D5" s="11" t="e">
        <f ca="1">'AI-SCC'!U108</f>
        <v>#NAME?</v>
      </c>
      <c r="E5" s="32" t="e">
        <f ca="1">'AI-SCC'!V108</f>
        <v>#NAME?</v>
      </c>
      <c r="G5" s="12" t="s">
        <v>12</v>
      </c>
      <c r="J5"/>
      <c r="K5"/>
      <c r="L5"/>
      <c r="M5"/>
      <c r="N5"/>
    </row>
    <row r="6" spans="1:14" s="21" customFormat="1" ht="12" customHeight="1" x14ac:dyDescent="0.25">
      <c r="B6" s="19" t="s">
        <v>25</v>
      </c>
      <c r="C6" s="10" t="e">
        <f ca="1">'AI-SCC'!T109</f>
        <v>#NAME?</v>
      </c>
      <c r="D6" s="11" t="e">
        <f ca="1">'AI-SCC'!U109</f>
        <v>#NAME?</v>
      </c>
      <c r="E6" s="32" t="e">
        <f ca="1">'AI-SCC'!V109</f>
        <v>#NAME?</v>
      </c>
      <c r="G6" s="12"/>
      <c r="J6"/>
      <c r="K6"/>
      <c r="L6"/>
      <c r="M6"/>
      <c r="N6"/>
    </row>
    <row r="7" spans="1:14" s="21" customFormat="1" ht="12" customHeight="1" x14ac:dyDescent="0.25">
      <c r="B7" s="19" t="s">
        <v>35</v>
      </c>
      <c r="C7" s="10" t="e">
        <f ca="1">'AI-SCC'!T110</f>
        <v>#NAME?</v>
      </c>
      <c r="D7" s="11" t="e">
        <f ca="1">'AI-SCC'!U110</f>
        <v>#NAME?</v>
      </c>
      <c r="E7" s="32" t="e">
        <f ca="1">'AI-SCC'!V110</f>
        <v>#NAME?</v>
      </c>
      <c r="G7" s="12"/>
      <c r="J7"/>
      <c r="K7"/>
      <c r="L7"/>
      <c r="M7"/>
      <c r="N7"/>
    </row>
    <row r="8" spans="1:14" s="21" customFormat="1" ht="12" customHeight="1" x14ac:dyDescent="0.25">
      <c r="B8" s="19" t="s">
        <v>66</v>
      </c>
      <c r="C8" s="10" t="e">
        <f ca="1">'AI-SCC'!T111</f>
        <v>#NAME?</v>
      </c>
      <c r="D8" s="11" t="e">
        <f ca="1">'AI-SCC'!U111</f>
        <v>#NAME?</v>
      </c>
      <c r="E8" s="32" t="e">
        <f ca="1">'AI-SCC'!V111</f>
        <v>#NAME?</v>
      </c>
      <c r="G8" s="12"/>
      <c r="J8"/>
      <c r="K8"/>
      <c r="L8"/>
      <c r="M8"/>
      <c r="N8"/>
    </row>
    <row r="9" spans="1:14" s="21" customFormat="1" ht="12" customHeight="1" x14ac:dyDescent="0.25">
      <c r="B9" s="19" t="s">
        <v>67</v>
      </c>
      <c r="C9" s="10" t="e">
        <f ca="1">'AI-SCC'!T112</f>
        <v>#NAME?</v>
      </c>
      <c r="D9" s="11" t="e">
        <f ca="1">'AI-SCC'!U112</f>
        <v>#NAME?</v>
      </c>
      <c r="E9" s="32" t="e">
        <f ca="1">'AI-SCC'!V112</f>
        <v>#NAME?</v>
      </c>
      <c r="G9" s="12"/>
      <c r="J9"/>
      <c r="K9"/>
      <c r="L9"/>
      <c r="M9"/>
      <c r="N9"/>
    </row>
    <row r="10" spans="1:14" s="21" customFormat="1" ht="12" customHeight="1" x14ac:dyDescent="0.25">
      <c r="B10" s="19" t="s">
        <v>30</v>
      </c>
      <c r="C10" s="10" t="e">
        <f ca="1">'AI-SCC'!T113</f>
        <v>#NAME?</v>
      </c>
      <c r="D10" s="11" t="e">
        <f ca="1">'AI-SCC'!U113</f>
        <v>#NAME?</v>
      </c>
      <c r="E10" s="32" t="e">
        <f ca="1">'AI-SCC'!V113</f>
        <v>#NAME?</v>
      </c>
      <c r="G10" s="12"/>
      <c r="J10"/>
      <c r="K10"/>
      <c r="L10"/>
      <c r="M10"/>
      <c r="N10"/>
    </row>
    <row r="11" spans="1:14" s="21" customFormat="1" ht="12" customHeight="1" thickBot="1" x14ac:dyDescent="0.3">
      <c r="B11" s="20" t="s">
        <v>34</v>
      </c>
      <c r="C11" s="30" t="e">
        <f ca="1">'AI-SCC'!T114</f>
        <v>#NAME?</v>
      </c>
      <c r="D11" s="47" t="e">
        <f ca="1">'AI-SCC'!U114</f>
        <v>#NAME?</v>
      </c>
      <c r="E11" s="45" t="e">
        <f ca="1">'AI-SCC'!V114</f>
        <v>#NAME?</v>
      </c>
      <c r="G11" s="12"/>
      <c r="J11"/>
      <c r="K11"/>
      <c r="L11"/>
      <c r="M11"/>
      <c r="N11"/>
    </row>
    <row r="12" spans="1:14" ht="12" customHeight="1" x14ac:dyDescent="0.25">
      <c r="B12" s="3" t="s">
        <v>8</v>
      </c>
      <c r="C12" s="151" t="e">
        <f ca="1">'AI-SCC'!$D$130</f>
        <v>#NAME?</v>
      </c>
      <c r="D12" s="152"/>
      <c r="E12" s="153"/>
      <c r="J12"/>
      <c r="K12"/>
      <c r="L12"/>
      <c r="M12"/>
      <c r="N12"/>
    </row>
    <row r="13" spans="1:14" ht="12" customHeight="1" thickBot="1" x14ac:dyDescent="0.3">
      <c r="B13" s="7" t="s">
        <v>9</v>
      </c>
      <c r="C13" s="142" t="e">
        <f ca="1">'AI-SCC'!$C$130</f>
        <v>#NAME?</v>
      </c>
      <c r="D13" s="143"/>
      <c r="E13" s="144"/>
      <c r="J13"/>
      <c r="K13"/>
      <c r="L13"/>
      <c r="M13"/>
      <c r="N13"/>
    </row>
    <row r="14" spans="1:14" ht="12" customHeight="1" thickBot="1" x14ac:dyDescent="0.3">
      <c r="J14"/>
      <c r="K14"/>
      <c r="L14"/>
      <c r="M14"/>
      <c r="N14"/>
    </row>
    <row r="15" spans="1:14" ht="12" customHeight="1" x14ac:dyDescent="0.25">
      <c r="C15" s="148" t="s">
        <v>19</v>
      </c>
      <c r="D15" s="149"/>
      <c r="E15" s="150"/>
      <c r="J15"/>
      <c r="K15"/>
      <c r="L15"/>
      <c r="M15"/>
      <c r="N15"/>
    </row>
    <row r="16" spans="1:14" ht="12" customHeight="1" thickBot="1" x14ac:dyDescent="0.3">
      <c r="C16" s="14" t="s">
        <v>57</v>
      </c>
      <c r="D16" s="2" t="s">
        <v>58</v>
      </c>
      <c r="E16" s="13" t="s">
        <v>59</v>
      </c>
      <c r="J16"/>
      <c r="K16"/>
      <c r="L16"/>
      <c r="M16"/>
      <c r="N16"/>
    </row>
    <row r="17" spans="2:14" ht="12" customHeight="1" x14ac:dyDescent="0.25">
      <c r="B17" s="18" t="s">
        <v>64</v>
      </c>
      <c r="C17" s="29" t="e">
        <f ca="1">'RA-SCC'!T107</f>
        <v>#NAME?</v>
      </c>
      <c r="D17" s="46" t="e">
        <f ca="1">'RA-SCC'!U107</f>
        <v>#NAME?</v>
      </c>
      <c r="E17" s="44" t="e">
        <f ca="1">'RA-SCC'!V107</f>
        <v>#NAME?</v>
      </c>
      <c r="J17"/>
      <c r="K17"/>
      <c r="L17"/>
      <c r="M17"/>
      <c r="N17"/>
    </row>
    <row r="18" spans="2:14" s="21" customFormat="1" ht="12" customHeight="1" x14ac:dyDescent="0.25">
      <c r="B18" s="19" t="s">
        <v>65</v>
      </c>
      <c r="C18" s="10" t="e">
        <f ca="1">'RA-SCC'!T108</f>
        <v>#NAME?</v>
      </c>
      <c r="D18" s="11" t="e">
        <f ca="1">'RA-SCC'!U108</f>
        <v>#NAME?</v>
      </c>
      <c r="E18" s="32" t="e">
        <f ca="1">'RA-SCC'!V108</f>
        <v>#NAME?</v>
      </c>
      <c r="G18" s="1"/>
      <c r="H18" s="1"/>
      <c r="J18"/>
      <c r="K18"/>
      <c r="L18"/>
      <c r="M18"/>
      <c r="N18"/>
    </row>
    <row r="19" spans="2:14" s="21" customFormat="1" ht="12" customHeight="1" x14ac:dyDescent="0.25">
      <c r="B19" s="19" t="s">
        <v>25</v>
      </c>
      <c r="C19" s="10" t="e">
        <f ca="1">'RA-SCC'!T109</f>
        <v>#NAME?</v>
      </c>
      <c r="D19" s="11" t="e">
        <f ca="1">'RA-SCC'!U109</f>
        <v>#NAME?</v>
      </c>
      <c r="E19" s="32" t="e">
        <f ca="1">'RA-SCC'!V109</f>
        <v>#NAME?</v>
      </c>
      <c r="G19" s="1"/>
      <c r="H19" s="1"/>
      <c r="J19"/>
      <c r="K19"/>
      <c r="L19"/>
      <c r="M19"/>
      <c r="N19"/>
    </row>
    <row r="20" spans="2:14" s="21" customFormat="1" ht="12" customHeight="1" x14ac:dyDescent="0.25">
      <c r="B20" s="19" t="s">
        <v>35</v>
      </c>
      <c r="C20" s="10" t="e">
        <f ca="1">'RA-SCC'!T110</f>
        <v>#NAME?</v>
      </c>
      <c r="D20" s="11" t="e">
        <f ca="1">'RA-SCC'!U110</f>
        <v>#NAME?</v>
      </c>
      <c r="E20" s="32" t="e">
        <f ca="1">'RA-SCC'!V110</f>
        <v>#NAME?</v>
      </c>
      <c r="J20"/>
      <c r="K20"/>
      <c r="L20"/>
      <c r="M20"/>
      <c r="N20"/>
    </row>
    <row r="21" spans="2:14" s="21" customFormat="1" ht="12" customHeight="1" x14ac:dyDescent="0.25">
      <c r="B21" s="19" t="s">
        <v>66</v>
      </c>
      <c r="C21" s="10" t="e">
        <f ca="1">'RA-SCC'!T111</f>
        <v>#NAME?</v>
      </c>
      <c r="D21" s="11" t="e">
        <f ca="1">'RA-SCC'!U111</f>
        <v>#NAME?</v>
      </c>
      <c r="E21" s="32" t="e">
        <f ca="1">'RA-SCC'!V111</f>
        <v>#NAME?</v>
      </c>
      <c r="J21"/>
      <c r="K21"/>
      <c r="L21"/>
      <c r="M21"/>
      <c r="N21"/>
    </row>
    <row r="22" spans="2:14" ht="12" customHeight="1" x14ac:dyDescent="0.25">
      <c r="B22" s="19" t="s">
        <v>67</v>
      </c>
      <c r="C22" s="10" t="e">
        <f ca="1">'RA-SCC'!T112</f>
        <v>#NAME?</v>
      </c>
      <c r="D22" s="11" t="e">
        <f ca="1">'RA-SCC'!U112</f>
        <v>#NAME?</v>
      </c>
      <c r="E22" s="32" t="e">
        <f ca="1">'RA-SCC'!V112</f>
        <v>#NAME?</v>
      </c>
      <c r="G22" s="21"/>
      <c r="H22" s="21"/>
      <c r="J22"/>
      <c r="K22"/>
      <c r="L22"/>
      <c r="M22"/>
      <c r="N22"/>
    </row>
    <row r="23" spans="2:14" s="21" customFormat="1" ht="12" customHeight="1" x14ac:dyDescent="0.25">
      <c r="B23" s="19" t="s">
        <v>30</v>
      </c>
      <c r="C23" s="10" t="e">
        <f ca="1">'RA-SCC'!T113</f>
        <v>#NAME?</v>
      </c>
      <c r="D23" s="11" t="e">
        <f ca="1">'RA-SCC'!U113</f>
        <v>#NAME?</v>
      </c>
      <c r="E23" s="32" t="e">
        <f ca="1">'RA-SCC'!V113</f>
        <v>#NAME?</v>
      </c>
      <c r="J23"/>
      <c r="K23"/>
      <c r="L23"/>
      <c r="M23"/>
      <c r="N23"/>
    </row>
    <row r="24" spans="2:14" s="21" customFormat="1" ht="12" customHeight="1" thickBot="1" x14ac:dyDescent="0.3">
      <c r="B24" s="20" t="s">
        <v>34</v>
      </c>
      <c r="C24" s="30" t="e">
        <f ca="1">'RA-SCC'!T114</f>
        <v>#NAME?</v>
      </c>
      <c r="D24" s="47" t="e">
        <f ca="1">'RA-SCC'!U114</f>
        <v>#NAME?</v>
      </c>
      <c r="E24" s="45" t="e">
        <f ca="1">'RA-SCC'!V114</f>
        <v>#NAME?</v>
      </c>
      <c r="J24"/>
      <c r="K24"/>
      <c r="L24"/>
      <c r="M24"/>
      <c r="N24"/>
    </row>
    <row r="25" spans="2:14" ht="12" customHeight="1" x14ac:dyDescent="0.25">
      <c r="B25" s="18" t="s">
        <v>8</v>
      </c>
      <c r="C25" s="151" t="e">
        <f ca="1">'RA-SCC'!$D$130</f>
        <v>#NAME?</v>
      </c>
      <c r="D25" s="152"/>
      <c r="E25" s="153"/>
      <c r="G25" s="21"/>
      <c r="H25" s="21"/>
      <c r="J25"/>
      <c r="K25"/>
      <c r="L25"/>
      <c r="M25"/>
      <c r="N25"/>
    </row>
    <row r="26" spans="2:14" ht="12" customHeight="1" thickBot="1" x14ac:dyDescent="0.3">
      <c r="B26" s="20" t="s">
        <v>9</v>
      </c>
      <c r="C26" s="142" t="e">
        <f ca="1">'RA-SCC'!$C$130</f>
        <v>#NAME?</v>
      </c>
      <c r="D26" s="143"/>
      <c r="E26" s="144"/>
      <c r="J26"/>
      <c r="K26"/>
      <c r="L26"/>
      <c r="M26"/>
      <c r="N26"/>
    </row>
    <row r="27" spans="2:14" ht="12" customHeight="1" thickBot="1" x14ac:dyDescent="0.3">
      <c r="J27"/>
      <c r="K27"/>
      <c r="L27"/>
      <c r="M27"/>
      <c r="N27"/>
    </row>
    <row r="28" spans="2:14" ht="12" customHeight="1" x14ac:dyDescent="0.25">
      <c r="C28" s="148" t="s">
        <v>20</v>
      </c>
      <c r="D28" s="149"/>
      <c r="E28" s="150"/>
      <c r="J28"/>
      <c r="K28"/>
      <c r="L28"/>
      <c r="M28"/>
      <c r="N28"/>
    </row>
    <row r="29" spans="2:14" ht="12" customHeight="1" thickBot="1" x14ac:dyDescent="0.3">
      <c r="C29" s="14" t="s">
        <v>57</v>
      </c>
      <c r="D29" s="2" t="s">
        <v>58</v>
      </c>
      <c r="E29" s="13" t="s">
        <v>59</v>
      </c>
      <c r="J29"/>
      <c r="K29"/>
      <c r="L29"/>
      <c r="M29"/>
      <c r="N29"/>
    </row>
    <row r="30" spans="2:14" ht="12" customHeight="1" x14ac:dyDescent="0.25">
      <c r="B30" s="18" t="s">
        <v>64</v>
      </c>
      <c r="C30" s="29" t="e">
        <f ca="1">'LB-SCC'!T107</f>
        <v>#NAME?</v>
      </c>
      <c r="D30" s="46" t="e">
        <f ca="1">'LB-SCC'!U107</f>
        <v>#NAME?</v>
      </c>
      <c r="E30" s="44" t="e">
        <f ca="1">'LB-SCC'!V107</f>
        <v>#NAME?</v>
      </c>
      <c r="J30"/>
      <c r="K30"/>
      <c r="L30"/>
      <c r="M30"/>
      <c r="N30"/>
    </row>
    <row r="31" spans="2:14" s="21" customFormat="1" ht="12" customHeight="1" x14ac:dyDescent="0.25">
      <c r="B31" s="19" t="s">
        <v>65</v>
      </c>
      <c r="C31" s="10" t="e">
        <f ca="1">'LB-SCC'!T108</f>
        <v>#NAME?</v>
      </c>
      <c r="D31" s="11" t="e">
        <f ca="1">'LB-SCC'!U108</f>
        <v>#NAME?</v>
      </c>
      <c r="E31" s="32" t="e">
        <f ca="1">'LB-SCC'!V108</f>
        <v>#NAME?</v>
      </c>
      <c r="G31" s="1"/>
      <c r="H31" s="1"/>
      <c r="J31"/>
      <c r="K31"/>
      <c r="L31"/>
      <c r="M31"/>
      <c r="N31"/>
    </row>
    <row r="32" spans="2:14" s="21" customFormat="1" ht="12" customHeight="1" x14ac:dyDescent="0.25">
      <c r="B32" s="19" t="s">
        <v>25</v>
      </c>
      <c r="C32" s="10" t="e">
        <f ca="1">'LB-SCC'!T109</f>
        <v>#NAME?</v>
      </c>
      <c r="D32" s="11" t="e">
        <f ca="1">'LB-SCC'!U109</f>
        <v>#NAME?</v>
      </c>
      <c r="E32" s="32" t="e">
        <f ca="1">'LB-SCC'!V109</f>
        <v>#NAME?</v>
      </c>
      <c r="G32" s="1"/>
      <c r="H32" s="6"/>
      <c r="J32"/>
      <c r="K32"/>
      <c r="L32"/>
      <c r="M32"/>
      <c r="N32"/>
    </row>
    <row r="33" spans="2:14" s="21" customFormat="1" ht="12" customHeight="1" x14ac:dyDescent="0.25">
      <c r="B33" s="19" t="s">
        <v>35</v>
      </c>
      <c r="C33" s="10" t="e">
        <f ca="1">'LB-SCC'!T110</f>
        <v>#NAME?</v>
      </c>
      <c r="D33" s="11" t="e">
        <f ca="1">'LB-SCC'!U110</f>
        <v>#NAME?</v>
      </c>
      <c r="E33" s="32" t="e">
        <f ca="1">'LB-SCC'!V110</f>
        <v>#NAME?</v>
      </c>
      <c r="G33" s="1"/>
      <c r="H33" s="1"/>
      <c r="J33"/>
      <c r="K33"/>
      <c r="L33"/>
      <c r="M33"/>
      <c r="N33"/>
    </row>
    <row r="34" spans="2:14" s="21" customFormat="1" ht="12" customHeight="1" x14ac:dyDescent="0.25">
      <c r="B34" s="19" t="s">
        <v>66</v>
      </c>
      <c r="C34" s="10" t="e">
        <f ca="1">'LB-SCC'!T111</f>
        <v>#NAME?</v>
      </c>
      <c r="D34" s="11" t="e">
        <f ca="1">'LB-SCC'!U111</f>
        <v>#NAME?</v>
      </c>
      <c r="E34" s="32" t="e">
        <f ca="1">'LB-SCC'!V111</f>
        <v>#NAME?</v>
      </c>
      <c r="G34" s="1"/>
      <c r="H34" s="1"/>
      <c r="J34"/>
      <c r="K34"/>
      <c r="L34"/>
      <c r="M34"/>
      <c r="N34"/>
    </row>
    <row r="35" spans="2:14" ht="12" customHeight="1" x14ac:dyDescent="0.25">
      <c r="B35" s="19" t="s">
        <v>67</v>
      </c>
      <c r="C35" s="10" t="e">
        <f ca="1">'LB-SCC'!T112</f>
        <v>#NAME?</v>
      </c>
      <c r="D35" s="11" t="e">
        <f ca="1">'LB-SCC'!U112</f>
        <v>#NAME?</v>
      </c>
      <c r="E35" s="32" t="e">
        <f ca="1">'LB-SCC'!V112</f>
        <v>#NAME?</v>
      </c>
      <c r="J35"/>
      <c r="K35"/>
      <c r="L35"/>
      <c r="M35"/>
      <c r="N35"/>
    </row>
    <row r="36" spans="2:14" s="21" customFormat="1" ht="12" customHeight="1" x14ac:dyDescent="0.25">
      <c r="B36" s="19" t="s">
        <v>30</v>
      </c>
      <c r="C36" s="10" t="e">
        <f ca="1">'LB-SCC'!T113</f>
        <v>#NAME?</v>
      </c>
      <c r="D36" s="11" t="e">
        <f ca="1">'LB-SCC'!U113</f>
        <v>#NAME?</v>
      </c>
      <c r="E36" s="32" t="e">
        <f ca="1">'LB-SCC'!V113</f>
        <v>#NAME?</v>
      </c>
      <c r="J36"/>
      <c r="K36"/>
      <c r="L36"/>
      <c r="M36"/>
      <c r="N36"/>
    </row>
    <row r="37" spans="2:14" s="21" customFormat="1" ht="12" customHeight="1" thickBot="1" x14ac:dyDescent="0.3">
      <c r="B37" s="20" t="s">
        <v>34</v>
      </c>
      <c r="C37" s="30" t="e">
        <f ca="1">'LB-SCC'!T114</f>
        <v>#NAME?</v>
      </c>
      <c r="D37" s="47" t="e">
        <f ca="1">'LB-SCC'!U114</f>
        <v>#NAME?</v>
      </c>
      <c r="E37" s="45" t="e">
        <f ca="1">'LB-SCC'!V114</f>
        <v>#NAME?</v>
      </c>
      <c r="H37" s="6"/>
      <c r="J37"/>
      <c r="K37"/>
      <c r="L37"/>
      <c r="M37"/>
      <c r="N37"/>
    </row>
    <row r="38" spans="2:14" ht="12" customHeight="1" x14ac:dyDescent="0.25">
      <c r="B38" s="18" t="s">
        <v>8</v>
      </c>
      <c r="C38" s="145" t="e">
        <f ca="1">'LB-SCC'!$D$130</f>
        <v>#NAME?</v>
      </c>
      <c r="D38" s="146"/>
      <c r="E38" s="147"/>
      <c r="J38"/>
      <c r="K38"/>
      <c r="L38"/>
      <c r="M38"/>
      <c r="N38"/>
    </row>
    <row r="39" spans="2:14" ht="12" customHeight="1" thickBot="1" x14ac:dyDescent="0.3">
      <c r="B39" s="20" t="s">
        <v>9</v>
      </c>
      <c r="C39" s="142" t="e">
        <f ca="1">'LB-SCC'!$C$130</f>
        <v>#NAME?</v>
      </c>
      <c r="D39" s="143"/>
      <c r="E39" s="144"/>
      <c r="G39" s="6"/>
      <c r="J39"/>
      <c r="K39"/>
      <c r="L39"/>
      <c r="M39"/>
      <c r="N39"/>
    </row>
    <row r="40" spans="2:14" ht="12" customHeight="1" x14ac:dyDescent="0.25">
      <c r="J40"/>
      <c r="K40"/>
      <c r="L40"/>
      <c r="M40"/>
      <c r="N40"/>
    </row>
    <row r="41" spans="2:14" ht="12" customHeight="1" x14ac:dyDescent="0.25">
      <c r="J41"/>
      <c r="K41"/>
      <c r="L41"/>
      <c r="M41"/>
      <c r="N41"/>
    </row>
    <row r="42" spans="2:14" ht="12" customHeight="1" x14ac:dyDescent="0.25">
      <c r="J42"/>
      <c r="K42"/>
      <c r="L42"/>
      <c r="M42"/>
      <c r="N42"/>
    </row>
    <row r="44" spans="2:14" x14ac:dyDescent="0.2">
      <c r="E44" s="6"/>
    </row>
  </sheetData>
  <mergeCells count="9">
    <mergeCell ref="C39:E39"/>
    <mergeCell ref="C38:E38"/>
    <mergeCell ref="C28:E28"/>
    <mergeCell ref="C2:E2"/>
    <mergeCell ref="C12:E12"/>
    <mergeCell ref="C15:E15"/>
    <mergeCell ref="C13:E13"/>
    <mergeCell ref="C26:E26"/>
    <mergeCell ref="C25:E25"/>
  </mergeCells>
  <phoneticPr fontId="13" type="noConversion"/>
  <conditionalFormatting sqref="C30:E37 C17:E24 C4:E11">
    <cfRule type="cellIs" dxfId="13" priority="47" stopIfTrue="1" operator="greaterThan">
      <formula>0.03</formula>
    </cfRule>
    <cfRule type="cellIs" dxfId="12" priority="48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52"/>
  <sheetViews>
    <sheetView workbookViewId="0">
      <selection activeCell="L3" sqref="L3:Q106"/>
    </sheetView>
  </sheetViews>
  <sheetFormatPr defaultColWidth="10.875" defaultRowHeight="14.25" x14ac:dyDescent="0.2"/>
  <cols>
    <col min="1" max="1" width="37" style="55" bestFit="1" customWidth="1"/>
    <col min="2" max="2" width="36.625" style="1" customWidth="1"/>
    <col min="3" max="3" width="7.875" style="1" customWidth="1"/>
    <col min="4" max="4" width="9.875" style="1" customWidth="1"/>
    <col min="5" max="7" width="6.875" style="1" customWidth="1"/>
    <col min="8" max="8" width="8.875" style="1" customWidth="1"/>
    <col min="9" max="9" width="8.875" style="4" customWidth="1"/>
    <col min="10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7" width="8.875" style="1" customWidth="1"/>
    <col min="18" max="18" width="8.875" style="21" customWidth="1"/>
    <col min="19" max="19" width="2.875" style="1" customWidth="1"/>
    <col min="20" max="25" width="8.875" style="1" customWidth="1"/>
    <col min="26" max="26" width="2.875" style="21" customWidth="1"/>
    <col min="27" max="29" width="6.875" style="21" customWidth="1"/>
    <col min="30" max="30" width="2.875" style="21" customWidth="1"/>
    <col min="31" max="33" width="6.875" style="21" customWidth="1"/>
    <col min="34" max="16384" width="10.875" style="1"/>
  </cols>
  <sheetData>
    <row r="1" spans="1:38" s="6" customFormat="1" ht="15" customHeight="1" thickBot="1" x14ac:dyDescent="0.25">
      <c r="A1" s="52"/>
      <c r="D1" s="154" t="str">
        <f>Summary!H2</f>
        <v xml:space="preserve">Anchor </v>
      </c>
      <c r="E1" s="154"/>
      <c r="F1" s="154"/>
      <c r="G1" s="154"/>
      <c r="H1" s="154"/>
      <c r="I1" s="154"/>
      <c r="J1" s="154"/>
      <c r="L1" s="154" t="str">
        <f>Summary!H3</f>
        <v xml:space="preserve">Tested </v>
      </c>
      <c r="M1" s="154"/>
      <c r="N1" s="154"/>
      <c r="O1" s="154"/>
      <c r="P1" s="154"/>
      <c r="Q1" s="154"/>
      <c r="R1" s="154"/>
      <c r="S1" s="64"/>
      <c r="T1" s="157" t="s">
        <v>10</v>
      </c>
      <c r="U1" s="157"/>
      <c r="V1" s="157"/>
      <c r="W1" s="157" t="s">
        <v>11</v>
      </c>
      <c r="X1" s="157"/>
      <c r="Y1" s="157"/>
      <c r="AA1" s="158" t="s">
        <v>37</v>
      </c>
      <c r="AB1" s="158"/>
      <c r="AC1" s="158"/>
      <c r="AD1" s="130"/>
      <c r="AE1" s="154" t="s">
        <v>36</v>
      </c>
      <c r="AF1" s="154"/>
      <c r="AG1" s="154"/>
    </row>
    <row r="2" spans="1:38" ht="15" customHeight="1" thickBot="1" x14ac:dyDescent="0.25">
      <c r="A2" s="53"/>
      <c r="B2" s="6"/>
      <c r="C2" s="18" t="s">
        <v>0</v>
      </c>
      <c r="D2" s="22" t="s">
        <v>4</v>
      </c>
      <c r="E2" s="23" t="s">
        <v>60</v>
      </c>
      <c r="F2" s="23" t="s">
        <v>61</v>
      </c>
      <c r="G2" s="23" t="s">
        <v>62</v>
      </c>
      <c r="H2" s="23" t="s">
        <v>5</v>
      </c>
      <c r="I2" s="26" t="s">
        <v>6</v>
      </c>
      <c r="J2" s="72" t="s">
        <v>7</v>
      </c>
      <c r="K2" s="81"/>
      <c r="L2" s="71" t="s">
        <v>4</v>
      </c>
      <c r="M2" s="72" t="s">
        <v>60</v>
      </c>
      <c r="N2" s="72" t="s">
        <v>61</v>
      </c>
      <c r="O2" s="72" t="s">
        <v>62</v>
      </c>
      <c r="P2" s="72" t="s">
        <v>5</v>
      </c>
      <c r="Q2" s="72" t="s">
        <v>6</v>
      </c>
      <c r="R2" s="72" t="s">
        <v>7</v>
      </c>
      <c r="S2" s="82"/>
      <c r="T2" s="71" t="s">
        <v>57</v>
      </c>
      <c r="U2" s="72" t="s">
        <v>58</v>
      </c>
      <c r="V2" s="73" t="s">
        <v>59</v>
      </c>
      <c r="W2" s="71" t="s">
        <v>57</v>
      </c>
      <c r="X2" s="72" t="s">
        <v>58</v>
      </c>
      <c r="Y2" s="73" t="s">
        <v>59</v>
      </c>
      <c r="Z2" s="81"/>
      <c r="AA2" s="23" t="s">
        <v>57</v>
      </c>
      <c r="AB2" s="23" t="s">
        <v>58</v>
      </c>
      <c r="AC2" s="23" t="s">
        <v>63</v>
      </c>
      <c r="AD2" s="82"/>
      <c r="AE2" s="71" t="s">
        <v>57</v>
      </c>
      <c r="AF2" s="72" t="s">
        <v>58</v>
      </c>
      <c r="AG2" s="73" t="s">
        <v>59</v>
      </c>
    </row>
    <row r="3" spans="1:38" ht="15" customHeight="1" x14ac:dyDescent="0.25">
      <c r="A3" s="54" t="s">
        <v>21</v>
      </c>
      <c r="B3" s="34" t="s">
        <v>38</v>
      </c>
      <c r="C3" s="18">
        <v>22</v>
      </c>
      <c r="D3" s="43"/>
      <c r="E3" s="43"/>
      <c r="F3" s="43"/>
      <c r="G3" s="43"/>
      <c r="H3" s="99"/>
      <c r="I3" s="100"/>
      <c r="J3" s="84" t="e">
        <f ca="1">secToHours(H3)</f>
        <v>#NAME?</v>
      </c>
      <c r="K3" s="19"/>
      <c r="L3" s="131"/>
      <c r="M3" s="132"/>
      <c r="N3" s="132"/>
      <c r="O3" s="132"/>
      <c r="P3" s="110"/>
      <c r="Q3" s="119"/>
      <c r="R3" s="84" t="e">
        <f ca="1">secToHours(P3)</f>
        <v>#NAME?</v>
      </c>
      <c r="S3" s="83"/>
      <c r="T3" s="88" t="e">
        <f ca="1">bdrate(D3:D6,E3:E6,L3:L6,M3:M6)</f>
        <v>#NAME?</v>
      </c>
      <c r="U3" s="89" t="e">
        <f ca="1">bdrate(D3:D6,F3:F6,L3:L6,N3:N6)</f>
        <v>#NAME?</v>
      </c>
      <c r="V3" s="89" t="e">
        <f ca="1">bdrate(D3:D6,G3:G6,L3:L6,O3:O6)</f>
        <v>#NAME?</v>
      </c>
      <c r="W3" s="89" t="e">
        <f ca="1">bdrateOld(D3:D6,E3:E6,L3:L6,M3:M6)</f>
        <v>#NAME?</v>
      </c>
      <c r="X3" s="89" t="e">
        <f ca="1">bdrateOld(D3:D6,F3:F6,L3:L6,N3:N6)</f>
        <v>#NAME?</v>
      </c>
      <c r="Y3" s="89" t="e">
        <f ca="1">bdrateOld(D3:D6,G3:G6,L3:L6,O3:O6)</f>
        <v>#NAME?</v>
      </c>
      <c r="Z3" s="19"/>
      <c r="AA3" s="43"/>
      <c r="AB3" s="43"/>
      <c r="AC3" s="43"/>
      <c r="AD3" s="83"/>
      <c r="AE3" s="109">
        <v>51.041699999999999</v>
      </c>
      <c r="AF3" s="110">
        <v>49.489400000000003</v>
      </c>
      <c r="AG3" s="119">
        <v>49.305700000000002</v>
      </c>
      <c r="AI3" s="141"/>
      <c r="AJ3" s="141"/>
      <c r="AK3" s="141"/>
      <c r="AL3" s="141"/>
    </row>
    <row r="4" spans="1:38" ht="15" customHeight="1" x14ac:dyDescent="0.2">
      <c r="B4" s="35"/>
      <c r="C4" s="19">
        <v>27</v>
      </c>
      <c r="D4" s="24"/>
      <c r="E4" s="24"/>
      <c r="F4" s="24"/>
      <c r="G4" s="24"/>
      <c r="H4" s="101"/>
      <c r="I4" s="102"/>
      <c r="J4" s="85" t="e">
        <f ca="1">secToHours(H4)</f>
        <v>#NAME?</v>
      </c>
      <c r="K4" s="19"/>
      <c r="L4" s="133"/>
      <c r="M4" s="134"/>
      <c r="N4" s="134"/>
      <c r="O4" s="134"/>
      <c r="P4" s="112"/>
      <c r="Q4" s="120"/>
      <c r="R4" s="85" t="e">
        <f ca="1">secToHours(P4)</f>
        <v>#NAME?</v>
      </c>
      <c r="S4" s="83"/>
      <c r="T4" s="90"/>
      <c r="U4" s="91"/>
      <c r="V4" s="91"/>
      <c r="W4" s="91"/>
      <c r="X4" s="91"/>
      <c r="Y4" s="91"/>
      <c r="Z4" s="19"/>
      <c r="AA4" s="24"/>
      <c r="AB4" s="24"/>
      <c r="AC4" s="24"/>
      <c r="AD4" s="83"/>
      <c r="AE4" s="111">
        <v>46.4527</v>
      </c>
      <c r="AF4" s="112">
        <v>44.692399999999999</v>
      </c>
      <c r="AG4" s="120">
        <v>44.511600000000001</v>
      </c>
      <c r="AI4" s="141"/>
      <c r="AJ4" s="141"/>
      <c r="AK4" s="141"/>
      <c r="AL4" s="141"/>
    </row>
    <row r="5" spans="1:38" ht="15" customHeight="1" x14ac:dyDescent="0.2">
      <c r="B5" s="36"/>
      <c r="C5" s="19">
        <v>32</v>
      </c>
      <c r="D5" s="24"/>
      <c r="E5" s="24"/>
      <c r="F5" s="24"/>
      <c r="G5" s="24"/>
      <c r="H5" s="101"/>
      <c r="I5" s="102"/>
      <c r="J5" s="85" t="e">
        <f t="shared" ref="J5:J68" ca="1" si="0">secToHours(H5)</f>
        <v>#NAME?</v>
      </c>
      <c r="K5" s="19"/>
      <c r="L5" s="133"/>
      <c r="M5" s="134"/>
      <c r="N5" s="134"/>
      <c r="O5" s="134"/>
      <c r="P5" s="112"/>
      <c r="Q5" s="120"/>
      <c r="R5" s="85" t="e">
        <f t="shared" ref="R5:R68" ca="1" si="1">secToHours(P5)</f>
        <v>#NAME?</v>
      </c>
      <c r="S5" s="83"/>
      <c r="T5" s="90"/>
      <c r="U5" s="91"/>
      <c r="V5" s="91"/>
      <c r="W5" s="91"/>
      <c r="X5" s="91"/>
      <c r="Y5" s="91"/>
      <c r="Z5" s="19"/>
      <c r="AA5" s="24"/>
      <c r="AB5" s="24"/>
      <c r="AC5" s="24"/>
      <c r="AD5" s="83"/>
      <c r="AE5" s="111">
        <v>41.654499999999999</v>
      </c>
      <c r="AF5" s="112">
        <v>39.700000000000003</v>
      </c>
      <c r="AG5" s="120">
        <v>39.543199999999999</v>
      </c>
      <c r="AI5" s="141"/>
      <c r="AJ5" s="141"/>
      <c r="AK5" s="141"/>
      <c r="AL5" s="141"/>
    </row>
    <row r="6" spans="1:38" ht="15" customHeight="1" x14ac:dyDescent="0.2">
      <c r="B6" s="36"/>
      <c r="C6" s="19">
        <v>37</v>
      </c>
      <c r="D6" s="25"/>
      <c r="E6" s="25"/>
      <c r="F6" s="25"/>
      <c r="G6" s="25"/>
      <c r="H6" s="103"/>
      <c r="I6" s="104"/>
      <c r="J6" s="86" t="e">
        <f t="shared" ca="1" si="0"/>
        <v>#NAME?</v>
      </c>
      <c r="K6" s="19"/>
      <c r="L6" s="135"/>
      <c r="M6" s="136"/>
      <c r="N6" s="136"/>
      <c r="O6" s="136"/>
      <c r="P6" s="114"/>
      <c r="Q6" s="121"/>
      <c r="R6" s="86" t="e">
        <f t="shared" ca="1" si="1"/>
        <v>#NAME?</v>
      </c>
      <c r="S6" s="83"/>
      <c r="T6" s="92"/>
      <c r="U6" s="93"/>
      <c r="V6" s="93"/>
      <c r="W6" s="93"/>
      <c r="X6" s="93"/>
      <c r="Y6" s="93"/>
      <c r="Z6" s="19"/>
      <c r="AA6" s="25"/>
      <c r="AB6" s="25"/>
      <c r="AC6" s="25"/>
      <c r="AD6" s="83"/>
      <c r="AE6" s="113">
        <v>36.828699999999998</v>
      </c>
      <c r="AF6" s="114">
        <v>34.633499999999998</v>
      </c>
      <c r="AG6" s="121">
        <v>34.539299999999997</v>
      </c>
      <c r="AI6" s="141"/>
      <c r="AJ6" s="141"/>
      <c r="AK6" s="141"/>
      <c r="AL6" s="141"/>
    </row>
    <row r="7" spans="1:38" ht="15" customHeight="1" x14ac:dyDescent="0.2">
      <c r="B7" s="37" t="s">
        <v>39</v>
      </c>
      <c r="C7" s="61">
        <v>22</v>
      </c>
      <c r="D7" s="31"/>
      <c r="E7" s="31"/>
      <c r="F7" s="31"/>
      <c r="G7" s="31"/>
      <c r="H7" s="105"/>
      <c r="I7" s="106"/>
      <c r="J7" s="85" t="e">
        <f t="shared" ca="1" si="0"/>
        <v>#NAME?</v>
      </c>
      <c r="K7" s="19"/>
      <c r="L7" s="137"/>
      <c r="M7" s="138"/>
      <c r="N7" s="138"/>
      <c r="O7" s="138"/>
      <c r="P7" s="116"/>
      <c r="Q7" s="122"/>
      <c r="R7" s="85" t="e">
        <f t="shared" ca="1" si="1"/>
        <v>#NAME?</v>
      </c>
      <c r="S7" s="83"/>
      <c r="T7" s="94" t="e">
        <f ca="1">bdrate(D7:D10,E7:E10,L7:L10,M7:M10)</f>
        <v>#NAME?</v>
      </c>
      <c r="U7" s="95" t="e">
        <f ca="1">bdrate(D7:D10,F7:F10,L7:L10,N7:N10)</f>
        <v>#NAME?</v>
      </c>
      <c r="V7" s="95" t="e">
        <f ca="1">bdrate(D7:D10,G7:G10,L7:L10,O7:O10)</f>
        <v>#NAME?</v>
      </c>
      <c r="W7" s="95" t="e">
        <f ca="1">bdrateOld(D7:D10,E7:E10,L7:L10,M7:M10)</f>
        <v>#NAME?</v>
      </c>
      <c r="X7" s="95" t="e">
        <f ca="1">bdrateOld(D7:D10,F7:F10,L7:L10,N7:N10)</f>
        <v>#NAME?</v>
      </c>
      <c r="Y7" s="95" t="e">
        <f ca="1">bdrateOld(D7:D10,G7:G10,L7:L10,O7:O10)</f>
        <v>#NAME?</v>
      </c>
      <c r="Z7" s="19"/>
      <c r="AA7" s="31"/>
      <c r="AB7" s="31"/>
      <c r="AC7" s="31"/>
      <c r="AD7" s="83"/>
      <c r="AE7" s="115">
        <v>55.6464</v>
      </c>
      <c r="AF7" s="116">
        <v>53.8538</v>
      </c>
      <c r="AG7" s="125">
        <v>53.246099999999998</v>
      </c>
      <c r="AI7" s="141"/>
      <c r="AJ7" s="141"/>
      <c r="AK7" s="141"/>
      <c r="AL7" s="141"/>
    </row>
    <row r="8" spans="1:38" ht="15" customHeight="1" x14ac:dyDescent="0.2">
      <c r="B8" s="36"/>
      <c r="C8" s="19">
        <v>27</v>
      </c>
      <c r="D8" s="24"/>
      <c r="E8" s="24"/>
      <c r="F8" s="24"/>
      <c r="G8" s="24"/>
      <c r="H8" s="101"/>
      <c r="I8" s="102"/>
      <c r="J8" s="85" t="e">
        <f t="shared" ca="1" si="0"/>
        <v>#NAME?</v>
      </c>
      <c r="K8" s="19"/>
      <c r="L8" s="133"/>
      <c r="M8" s="134"/>
      <c r="N8" s="134"/>
      <c r="O8" s="134"/>
      <c r="P8" s="112"/>
      <c r="Q8" s="123"/>
      <c r="R8" s="85" t="e">
        <f t="shared" ca="1" si="1"/>
        <v>#NAME?</v>
      </c>
      <c r="S8" s="83"/>
      <c r="T8" s="90"/>
      <c r="U8" s="91"/>
      <c r="V8" s="91"/>
      <c r="W8" s="91"/>
      <c r="X8" s="91"/>
      <c r="Y8" s="91"/>
      <c r="Z8" s="19"/>
      <c r="AA8" s="24"/>
      <c r="AB8" s="24"/>
      <c r="AC8" s="24"/>
      <c r="AD8" s="83"/>
      <c r="AE8" s="111">
        <v>51.385899999999999</v>
      </c>
      <c r="AF8" s="112">
        <v>49.123600000000003</v>
      </c>
      <c r="AG8" s="120">
        <v>48.380099999999999</v>
      </c>
      <c r="AI8" s="141"/>
      <c r="AJ8" s="141"/>
      <c r="AK8" s="141"/>
      <c r="AL8" s="141"/>
    </row>
    <row r="9" spans="1:38" ht="15" customHeight="1" x14ac:dyDescent="0.2">
      <c r="B9" s="36"/>
      <c r="C9" s="19">
        <v>32</v>
      </c>
      <c r="D9" s="24"/>
      <c r="E9" s="24"/>
      <c r="F9" s="24"/>
      <c r="G9" s="24"/>
      <c r="H9" s="101"/>
      <c r="I9" s="102"/>
      <c r="J9" s="85" t="e">
        <f t="shared" ca="1" si="0"/>
        <v>#NAME?</v>
      </c>
      <c r="K9" s="19"/>
      <c r="L9" s="133"/>
      <c r="M9" s="134"/>
      <c r="N9" s="134"/>
      <c r="O9" s="134"/>
      <c r="P9" s="112"/>
      <c r="Q9" s="123"/>
      <c r="R9" s="85" t="e">
        <f t="shared" ca="1" si="1"/>
        <v>#NAME?</v>
      </c>
      <c r="S9" s="83"/>
      <c r="T9" s="90"/>
      <c r="U9" s="91"/>
      <c r="V9" s="91"/>
      <c r="W9" s="91"/>
      <c r="X9" s="91"/>
      <c r="Y9" s="91"/>
      <c r="Z9" s="19"/>
      <c r="AA9" s="24"/>
      <c r="AB9" s="24"/>
      <c r="AC9" s="24"/>
      <c r="AD9" s="83"/>
      <c r="AE9" s="111">
        <v>46.272500000000001</v>
      </c>
      <c r="AF9" s="112">
        <v>43.192100000000003</v>
      </c>
      <c r="AG9" s="120">
        <v>42.909199999999998</v>
      </c>
      <c r="AI9" s="141"/>
      <c r="AJ9" s="141"/>
      <c r="AK9" s="141"/>
      <c r="AL9" s="141"/>
    </row>
    <row r="10" spans="1:38" ht="15" customHeight="1" x14ac:dyDescent="0.2">
      <c r="B10" s="38"/>
      <c r="C10" s="60">
        <v>37</v>
      </c>
      <c r="D10" s="25"/>
      <c r="E10" s="25"/>
      <c r="F10" s="25"/>
      <c r="G10" s="25"/>
      <c r="H10" s="103"/>
      <c r="I10" s="104"/>
      <c r="J10" s="86" t="e">
        <f t="shared" ca="1" si="0"/>
        <v>#NAME?</v>
      </c>
      <c r="K10" s="19"/>
      <c r="L10" s="135"/>
      <c r="M10" s="136"/>
      <c r="N10" s="136"/>
      <c r="O10" s="136"/>
      <c r="P10" s="114"/>
      <c r="Q10" s="121"/>
      <c r="R10" s="86" t="e">
        <f t="shared" ca="1" si="1"/>
        <v>#NAME?</v>
      </c>
      <c r="S10" s="83"/>
      <c r="T10" s="92"/>
      <c r="U10" s="93"/>
      <c r="V10" s="93"/>
      <c r="W10" s="93"/>
      <c r="X10" s="93"/>
      <c r="Y10" s="93"/>
      <c r="Z10" s="19"/>
      <c r="AA10" s="25"/>
      <c r="AB10" s="25"/>
      <c r="AC10" s="25"/>
      <c r="AD10" s="83"/>
      <c r="AE10" s="113">
        <v>40.372300000000003</v>
      </c>
      <c r="AF10" s="114">
        <v>37.117899999999999</v>
      </c>
      <c r="AG10" s="121">
        <v>36.617800000000003</v>
      </c>
      <c r="AI10" s="141"/>
      <c r="AJ10" s="141"/>
      <c r="AK10" s="141"/>
      <c r="AL10" s="141"/>
    </row>
    <row r="11" spans="1:38" ht="15" customHeight="1" x14ac:dyDescent="0.2">
      <c r="B11" s="37" t="s">
        <v>40</v>
      </c>
      <c r="C11" s="19">
        <v>22</v>
      </c>
      <c r="D11" s="24"/>
      <c r="E11" s="24"/>
      <c r="F11" s="24"/>
      <c r="G11" s="24"/>
      <c r="H11" s="101"/>
      <c r="I11" s="102"/>
      <c r="J11" s="85" t="e">
        <f t="shared" ca="1" si="0"/>
        <v>#NAME?</v>
      </c>
      <c r="K11" s="19"/>
      <c r="L11" s="133"/>
      <c r="M11" s="134"/>
      <c r="N11" s="134"/>
      <c r="O11" s="134"/>
      <c r="P11" s="112"/>
      <c r="Q11" s="120"/>
      <c r="R11" s="85" t="e">
        <f t="shared" ca="1" si="1"/>
        <v>#NAME?</v>
      </c>
      <c r="S11" s="83"/>
      <c r="T11" s="90" t="e">
        <f ca="1">bdrate(D11:D14,E11:E14,L11:L14,M11:M14)</f>
        <v>#NAME?</v>
      </c>
      <c r="U11" s="91" t="e">
        <f ca="1">bdrate(D11:D14,F11:F14,L11:L14,N11:N14)</f>
        <v>#NAME?</v>
      </c>
      <c r="V11" s="91" t="e">
        <f ca="1">bdrate(D11:D14,G11:G14,L11:L14,O11:O14)</f>
        <v>#NAME?</v>
      </c>
      <c r="W11" s="91" t="e">
        <f ca="1">bdrateOld(D11:D14,E11:E14,L11:L14,M11:M14)</f>
        <v>#NAME?</v>
      </c>
      <c r="X11" s="91" t="e">
        <f ca="1">bdrateOld(D11:D14,F11:F14,L11:L14,N11:N14)</f>
        <v>#NAME?</v>
      </c>
      <c r="Y11" s="91" t="e">
        <f ca="1">bdrateOld(D11:D14,G11:G14,L11:L14,O11:O14)</f>
        <v>#NAME?</v>
      </c>
      <c r="Z11" s="19"/>
      <c r="AA11" s="24"/>
      <c r="AB11" s="24"/>
      <c r="AC11" s="24"/>
      <c r="AD11" s="83"/>
      <c r="AE11" s="111">
        <v>57.503799999999998</v>
      </c>
      <c r="AF11" s="112">
        <v>56.966799999999999</v>
      </c>
      <c r="AG11" s="120">
        <v>56.206499999999998</v>
      </c>
      <c r="AI11" s="141"/>
      <c r="AJ11" s="141"/>
      <c r="AK11" s="141"/>
      <c r="AL11" s="141"/>
    </row>
    <row r="12" spans="1:38" ht="15" customHeight="1" x14ac:dyDescent="0.2">
      <c r="B12" s="36"/>
      <c r="C12" s="19">
        <v>27</v>
      </c>
      <c r="D12" s="24"/>
      <c r="E12" s="24"/>
      <c r="F12" s="24"/>
      <c r="G12" s="24"/>
      <c r="H12" s="101"/>
      <c r="I12" s="102"/>
      <c r="J12" s="85" t="e">
        <f t="shared" ca="1" si="0"/>
        <v>#NAME?</v>
      </c>
      <c r="K12" s="19"/>
      <c r="L12" s="133"/>
      <c r="M12" s="134"/>
      <c r="N12" s="134"/>
      <c r="O12" s="134"/>
      <c r="P12" s="112"/>
      <c r="Q12" s="120"/>
      <c r="R12" s="85" t="e">
        <f t="shared" ca="1" si="1"/>
        <v>#NAME?</v>
      </c>
      <c r="S12" s="83"/>
      <c r="T12" s="90"/>
      <c r="U12" s="91"/>
      <c r="V12" s="91"/>
      <c r="W12" s="91"/>
      <c r="X12" s="91"/>
      <c r="Y12" s="91"/>
      <c r="Z12" s="19"/>
      <c r="AA12" s="24"/>
      <c r="AB12" s="24"/>
      <c r="AC12" s="24"/>
      <c r="AD12" s="83"/>
      <c r="AE12" s="111">
        <v>52.897300000000001</v>
      </c>
      <c r="AF12" s="112">
        <v>51.910699999999999</v>
      </c>
      <c r="AG12" s="120">
        <v>51.154600000000002</v>
      </c>
      <c r="AI12" s="141"/>
      <c r="AJ12" s="141"/>
      <c r="AK12" s="141"/>
      <c r="AL12" s="141"/>
    </row>
    <row r="13" spans="1:38" ht="15" customHeight="1" x14ac:dyDescent="0.2">
      <c r="B13" s="36"/>
      <c r="C13" s="19">
        <v>32</v>
      </c>
      <c r="D13" s="24"/>
      <c r="E13" s="24"/>
      <c r="F13" s="24"/>
      <c r="G13" s="24"/>
      <c r="H13" s="101"/>
      <c r="I13" s="102"/>
      <c r="J13" s="85" t="e">
        <f t="shared" ca="1" si="0"/>
        <v>#NAME?</v>
      </c>
      <c r="K13" s="19"/>
      <c r="L13" s="133"/>
      <c r="M13" s="134"/>
      <c r="N13" s="134"/>
      <c r="O13" s="134"/>
      <c r="P13" s="112"/>
      <c r="Q13" s="120"/>
      <c r="R13" s="85" t="e">
        <f t="shared" ca="1" si="1"/>
        <v>#NAME?</v>
      </c>
      <c r="S13" s="83"/>
      <c r="T13" s="90"/>
      <c r="U13" s="91"/>
      <c r="V13" s="91"/>
      <c r="W13" s="91"/>
      <c r="X13" s="91"/>
      <c r="Y13" s="91"/>
      <c r="Z13" s="19"/>
      <c r="AA13" s="24"/>
      <c r="AB13" s="24"/>
      <c r="AC13" s="24"/>
      <c r="AD13" s="83"/>
      <c r="AE13" s="111">
        <v>48.027999999999999</v>
      </c>
      <c r="AF13" s="112">
        <v>47.247100000000003</v>
      </c>
      <c r="AG13" s="120">
        <v>46.198999999999998</v>
      </c>
      <c r="AI13" s="141"/>
      <c r="AJ13" s="141"/>
      <c r="AK13" s="141"/>
      <c r="AL13" s="141"/>
    </row>
    <row r="14" spans="1:38" ht="15" customHeight="1" thickBot="1" x14ac:dyDescent="0.25">
      <c r="B14" s="77"/>
      <c r="C14" s="20">
        <v>37</v>
      </c>
      <c r="D14" s="33"/>
      <c r="E14" s="33"/>
      <c r="F14" s="33"/>
      <c r="G14" s="33"/>
      <c r="H14" s="107"/>
      <c r="I14" s="108"/>
      <c r="J14" s="87" t="e">
        <f t="shared" ca="1" si="0"/>
        <v>#NAME?</v>
      </c>
      <c r="K14" s="19"/>
      <c r="L14" s="139"/>
      <c r="M14" s="140"/>
      <c r="N14" s="140"/>
      <c r="O14" s="140"/>
      <c r="P14" s="118"/>
      <c r="Q14" s="124"/>
      <c r="R14" s="87" t="e">
        <f t="shared" ca="1" si="1"/>
        <v>#NAME?</v>
      </c>
      <c r="S14" s="83"/>
      <c r="T14" s="96"/>
      <c r="U14" s="97"/>
      <c r="V14" s="97"/>
      <c r="W14" s="97"/>
      <c r="X14" s="97"/>
      <c r="Y14" s="97"/>
      <c r="Z14" s="19"/>
      <c r="AA14" s="33"/>
      <c r="AB14" s="33"/>
      <c r="AC14" s="33"/>
      <c r="AD14" s="83"/>
      <c r="AE14" s="117">
        <v>42.322200000000002</v>
      </c>
      <c r="AF14" s="118">
        <v>41.8429</v>
      </c>
      <c r="AG14" s="124">
        <v>40.520400000000002</v>
      </c>
      <c r="AI14" s="141"/>
      <c r="AJ14" s="141"/>
      <c r="AK14" s="141"/>
      <c r="AL14" s="141"/>
    </row>
    <row r="15" spans="1:38" ht="15" customHeight="1" x14ac:dyDescent="0.25">
      <c r="A15" s="54" t="s">
        <v>22</v>
      </c>
      <c r="B15" s="34" t="s">
        <v>41</v>
      </c>
      <c r="C15" s="18">
        <v>22</v>
      </c>
      <c r="D15" s="24"/>
      <c r="E15" s="24"/>
      <c r="F15" s="24"/>
      <c r="G15" s="24"/>
      <c r="H15" s="101"/>
      <c r="I15" s="102"/>
      <c r="J15" s="85" t="e">
        <f t="shared" ca="1" si="0"/>
        <v>#NAME?</v>
      </c>
      <c r="K15" s="19"/>
      <c r="L15" s="133"/>
      <c r="M15" s="134"/>
      <c r="N15" s="134"/>
      <c r="O15" s="134"/>
      <c r="P15" s="112"/>
      <c r="Q15" s="120"/>
      <c r="R15" s="85" t="e">
        <f t="shared" ca="1" si="1"/>
        <v>#NAME?</v>
      </c>
      <c r="S15" s="83"/>
      <c r="T15" s="90" t="e">
        <f ca="1">bdrate(D15:D18,E15:E18,L15:L18,M15:M18)</f>
        <v>#NAME?</v>
      </c>
      <c r="U15" s="91" t="e">
        <f ca="1">bdrate(D15:D18,F15:F18,L15:L18,N15:N18)</f>
        <v>#NAME?</v>
      </c>
      <c r="V15" s="91" t="e">
        <f ca="1">bdrate(D15:D18,G15:G18,L15:L18,O15:O18)</f>
        <v>#NAME?</v>
      </c>
      <c r="W15" s="91" t="e">
        <f ca="1">bdrateOld(D15:D18,E15:E18,L15:L18,M15:M18)</f>
        <v>#NAME?</v>
      </c>
      <c r="X15" s="91" t="e">
        <f ca="1">bdrateOld(D15:D18,F15:F18,L15:L18,N15:N18)</f>
        <v>#NAME?</v>
      </c>
      <c r="Y15" s="91" t="e">
        <f ca="1">bdrateOld(D15:D18,G15:G18,L15:L18,O15:O18)</f>
        <v>#NAME?</v>
      </c>
      <c r="Z15" s="19"/>
      <c r="AA15" s="24"/>
      <c r="AB15" s="24"/>
      <c r="AC15" s="24"/>
      <c r="AD15" s="83"/>
      <c r="AE15" s="111">
        <v>55.102800000000002</v>
      </c>
      <c r="AF15" s="112">
        <v>53.009399999999999</v>
      </c>
      <c r="AG15" s="120">
        <v>52.935400000000001</v>
      </c>
      <c r="AI15" s="141"/>
      <c r="AJ15" s="141"/>
      <c r="AK15" s="141"/>
      <c r="AL15" s="141"/>
    </row>
    <row r="16" spans="1:38" ht="15" customHeight="1" x14ac:dyDescent="0.2">
      <c r="B16" s="36"/>
      <c r="C16" s="19">
        <v>27</v>
      </c>
      <c r="D16" s="24"/>
      <c r="E16" s="24"/>
      <c r="F16" s="24"/>
      <c r="G16" s="24"/>
      <c r="H16" s="101"/>
      <c r="I16" s="102"/>
      <c r="J16" s="85" t="e">
        <f t="shared" ca="1" si="0"/>
        <v>#NAME?</v>
      </c>
      <c r="K16" s="19"/>
      <c r="L16" s="133"/>
      <c r="M16" s="134"/>
      <c r="N16" s="134"/>
      <c r="O16" s="134"/>
      <c r="P16" s="112"/>
      <c r="Q16" s="120"/>
      <c r="R16" s="85" t="e">
        <f t="shared" ca="1" si="1"/>
        <v>#NAME?</v>
      </c>
      <c r="S16" s="83"/>
      <c r="T16" s="90"/>
      <c r="U16" s="91"/>
      <c r="V16" s="91"/>
      <c r="W16" s="91"/>
      <c r="X16" s="91"/>
      <c r="Y16" s="91"/>
      <c r="Z16" s="19"/>
      <c r="AA16" s="24"/>
      <c r="AB16" s="24"/>
      <c r="AC16" s="24"/>
      <c r="AD16" s="83"/>
      <c r="AE16" s="111">
        <v>51.085799999999999</v>
      </c>
      <c r="AF16" s="112">
        <v>48.733199999999997</v>
      </c>
      <c r="AG16" s="120">
        <v>48.611800000000002</v>
      </c>
      <c r="AI16" s="141"/>
      <c r="AJ16" s="141"/>
      <c r="AK16" s="141"/>
      <c r="AL16" s="141"/>
    </row>
    <row r="17" spans="1:38" ht="15" customHeight="1" x14ac:dyDescent="0.2">
      <c r="B17" s="36"/>
      <c r="C17" s="19">
        <v>32</v>
      </c>
      <c r="D17" s="24"/>
      <c r="E17" s="24"/>
      <c r="F17" s="24"/>
      <c r="G17" s="24"/>
      <c r="H17" s="101"/>
      <c r="I17" s="102"/>
      <c r="J17" s="85" t="e">
        <f t="shared" ca="1" si="0"/>
        <v>#NAME?</v>
      </c>
      <c r="K17" s="19"/>
      <c r="L17" s="133"/>
      <c r="M17" s="134"/>
      <c r="N17" s="134"/>
      <c r="O17" s="134"/>
      <c r="P17" s="112"/>
      <c r="Q17" s="120"/>
      <c r="R17" s="85" t="e">
        <f t="shared" ca="1" si="1"/>
        <v>#NAME?</v>
      </c>
      <c r="S17" s="83"/>
      <c r="T17" s="90"/>
      <c r="U17" s="91"/>
      <c r="V17" s="91"/>
      <c r="W17" s="91"/>
      <c r="X17" s="91"/>
      <c r="Y17" s="91"/>
      <c r="Z17" s="19"/>
      <c r="AA17" s="24"/>
      <c r="AB17" s="24"/>
      <c r="AC17" s="24"/>
      <c r="AD17" s="83"/>
      <c r="AE17" s="111">
        <v>46.648000000000003</v>
      </c>
      <c r="AF17" s="112">
        <v>43.115699999999997</v>
      </c>
      <c r="AG17" s="120">
        <v>43.2179</v>
      </c>
      <c r="AI17" s="141"/>
      <c r="AJ17" s="141"/>
      <c r="AK17" s="141"/>
      <c r="AL17" s="141"/>
    </row>
    <row r="18" spans="1:38" ht="15" customHeight="1" x14ac:dyDescent="0.2">
      <c r="B18" s="38"/>
      <c r="C18" s="19">
        <v>37</v>
      </c>
      <c r="D18" s="24"/>
      <c r="E18" s="24"/>
      <c r="F18" s="24"/>
      <c r="G18" s="24"/>
      <c r="H18" s="101"/>
      <c r="I18" s="102"/>
      <c r="J18" s="86" t="e">
        <f t="shared" ca="1" si="0"/>
        <v>#NAME?</v>
      </c>
      <c r="K18" s="19"/>
      <c r="L18" s="133"/>
      <c r="M18" s="134"/>
      <c r="N18" s="134"/>
      <c r="O18" s="134"/>
      <c r="P18" s="112"/>
      <c r="Q18" s="120"/>
      <c r="R18" s="86" t="e">
        <f t="shared" ca="1" si="1"/>
        <v>#NAME?</v>
      </c>
      <c r="S18" s="83"/>
      <c r="T18" s="90"/>
      <c r="U18" s="91"/>
      <c r="V18" s="91"/>
      <c r="W18" s="91"/>
      <c r="X18" s="91"/>
      <c r="Y18" s="91"/>
      <c r="Z18" s="19"/>
      <c r="AA18" s="24"/>
      <c r="AB18" s="24"/>
      <c r="AC18" s="24"/>
      <c r="AD18" s="83"/>
      <c r="AE18" s="111">
        <v>40.485300000000002</v>
      </c>
      <c r="AF18" s="112">
        <v>36.545999999999999</v>
      </c>
      <c r="AG18" s="120">
        <v>36.587800000000001</v>
      </c>
      <c r="AI18" s="141"/>
      <c r="AJ18" s="141"/>
      <c r="AK18" s="141"/>
      <c r="AL18" s="141"/>
    </row>
    <row r="19" spans="1:38" ht="15" customHeight="1" x14ac:dyDescent="0.2">
      <c r="B19" s="48" t="s">
        <v>42</v>
      </c>
      <c r="C19" s="61">
        <v>22</v>
      </c>
      <c r="D19" s="31"/>
      <c r="E19" s="31"/>
      <c r="F19" s="31"/>
      <c r="G19" s="31"/>
      <c r="H19" s="105"/>
      <c r="I19" s="106"/>
      <c r="J19" s="85" t="e">
        <f t="shared" ca="1" si="0"/>
        <v>#NAME?</v>
      </c>
      <c r="K19" s="19"/>
      <c r="L19" s="137"/>
      <c r="M19" s="138"/>
      <c r="N19" s="138"/>
      <c r="O19" s="138"/>
      <c r="P19" s="116"/>
      <c r="Q19" s="125"/>
      <c r="R19" s="85" t="e">
        <f t="shared" ca="1" si="1"/>
        <v>#NAME?</v>
      </c>
      <c r="S19" s="83"/>
      <c r="T19" s="94" t="e">
        <f ca="1">bdrate(D19:D22,E19:E22,L19:L22,M19:M22)</f>
        <v>#NAME?</v>
      </c>
      <c r="U19" s="95" t="e">
        <f ca="1">bdrate(D19:D22,F19:F22,L19:L22,N19:N22)</f>
        <v>#NAME?</v>
      </c>
      <c r="V19" s="95" t="e">
        <f ca="1">bdrate(D19:D22,G19:G22,L19:L22,O19:O22)</f>
        <v>#NAME?</v>
      </c>
      <c r="W19" s="95" t="e">
        <f ca="1">bdrateOld(D19:D22,E19:E22,L19:L22,M19:M22)</f>
        <v>#NAME?</v>
      </c>
      <c r="X19" s="95" t="e">
        <f ca="1">bdrateOld(D19:D22,F19:F22,L19:L22,N19:N22)</f>
        <v>#NAME?</v>
      </c>
      <c r="Y19" s="95" t="e">
        <f ca="1">bdrateOld(D19:D22,G19:G22,L19:L22,O19:O22)</f>
        <v>#NAME?</v>
      </c>
      <c r="Z19" s="19"/>
      <c r="AA19" s="31"/>
      <c r="AB19" s="31"/>
      <c r="AC19" s="31"/>
      <c r="AD19" s="83"/>
      <c r="AE19" s="115">
        <v>49.667499999999997</v>
      </c>
      <c r="AF19" s="116">
        <v>47.792200000000001</v>
      </c>
      <c r="AG19" s="125">
        <v>48.596699999999998</v>
      </c>
      <c r="AI19" s="141"/>
      <c r="AJ19" s="141"/>
      <c r="AK19" s="141"/>
      <c r="AL19" s="141"/>
    </row>
    <row r="20" spans="1:38" ht="15" customHeight="1" x14ac:dyDescent="0.2">
      <c r="B20" s="36"/>
      <c r="C20" s="19">
        <v>27</v>
      </c>
      <c r="D20" s="24"/>
      <c r="E20" s="24"/>
      <c r="F20" s="24"/>
      <c r="G20" s="24"/>
      <c r="H20" s="101"/>
      <c r="I20" s="102"/>
      <c r="J20" s="85" t="e">
        <f t="shared" ca="1" si="0"/>
        <v>#NAME?</v>
      </c>
      <c r="K20" s="19"/>
      <c r="L20" s="133"/>
      <c r="M20" s="134"/>
      <c r="N20" s="134"/>
      <c r="O20" s="134"/>
      <c r="P20" s="112"/>
      <c r="Q20" s="120"/>
      <c r="R20" s="85" t="e">
        <f t="shared" ca="1" si="1"/>
        <v>#NAME?</v>
      </c>
      <c r="S20" s="83"/>
      <c r="T20" s="90"/>
      <c r="U20" s="91"/>
      <c r="V20" s="91"/>
      <c r="W20" s="91"/>
      <c r="X20" s="91"/>
      <c r="Y20" s="91"/>
      <c r="Z20" s="19"/>
      <c r="AA20" s="24"/>
      <c r="AB20" s="24"/>
      <c r="AC20" s="24"/>
      <c r="AD20" s="83"/>
      <c r="AE20" s="111">
        <v>45.376399999999997</v>
      </c>
      <c r="AF20" s="112">
        <v>43.484699999999997</v>
      </c>
      <c r="AG20" s="120">
        <v>44.500500000000002</v>
      </c>
      <c r="AI20" s="141"/>
      <c r="AJ20" s="141"/>
      <c r="AK20" s="141"/>
      <c r="AL20" s="141"/>
    </row>
    <row r="21" spans="1:38" ht="15" customHeight="1" x14ac:dyDescent="0.2">
      <c r="B21" s="48"/>
      <c r="C21" s="19">
        <v>32</v>
      </c>
      <c r="D21" s="24"/>
      <c r="E21" s="24"/>
      <c r="F21" s="24"/>
      <c r="G21" s="24"/>
      <c r="H21" s="101"/>
      <c r="I21" s="102"/>
      <c r="J21" s="85" t="e">
        <f t="shared" ca="1" si="0"/>
        <v>#NAME?</v>
      </c>
      <c r="K21" s="19"/>
      <c r="L21" s="133"/>
      <c r="M21" s="134"/>
      <c r="N21" s="134"/>
      <c r="O21" s="134"/>
      <c r="P21" s="112"/>
      <c r="Q21" s="120"/>
      <c r="R21" s="85" t="e">
        <f t="shared" ca="1" si="1"/>
        <v>#NAME?</v>
      </c>
      <c r="S21" s="83"/>
      <c r="T21" s="90"/>
      <c r="U21" s="91"/>
      <c r="V21" s="91"/>
      <c r="W21" s="91"/>
      <c r="X21" s="91"/>
      <c r="Y21" s="91"/>
      <c r="Z21" s="19"/>
      <c r="AA21" s="24"/>
      <c r="AB21" s="24"/>
      <c r="AC21" s="24"/>
      <c r="AD21" s="83"/>
      <c r="AE21" s="111">
        <v>40.635100000000001</v>
      </c>
      <c r="AF21" s="112">
        <v>38.909700000000001</v>
      </c>
      <c r="AG21" s="120">
        <v>40.243099999999998</v>
      </c>
      <c r="AI21" s="141"/>
      <c r="AJ21" s="141"/>
      <c r="AK21" s="141"/>
      <c r="AL21" s="141"/>
    </row>
    <row r="22" spans="1:38" ht="15" customHeight="1" x14ac:dyDescent="0.2">
      <c r="B22" s="36"/>
      <c r="C22" s="60">
        <v>37</v>
      </c>
      <c r="D22" s="25"/>
      <c r="E22" s="25"/>
      <c r="F22" s="25"/>
      <c r="G22" s="25"/>
      <c r="H22" s="103"/>
      <c r="I22" s="104"/>
      <c r="J22" s="86" t="e">
        <f t="shared" ca="1" si="0"/>
        <v>#NAME?</v>
      </c>
      <c r="K22" s="19"/>
      <c r="L22" s="135"/>
      <c r="M22" s="136"/>
      <c r="N22" s="136"/>
      <c r="O22" s="136"/>
      <c r="P22" s="114"/>
      <c r="Q22" s="121"/>
      <c r="R22" s="86" t="e">
        <f t="shared" ca="1" si="1"/>
        <v>#NAME?</v>
      </c>
      <c r="S22" s="83"/>
      <c r="T22" s="92"/>
      <c r="U22" s="93"/>
      <c r="V22" s="93"/>
      <c r="W22" s="93"/>
      <c r="X22" s="93"/>
      <c r="Y22" s="93"/>
      <c r="Z22" s="19"/>
      <c r="AA22" s="25"/>
      <c r="AB22" s="25"/>
      <c r="AC22" s="25"/>
      <c r="AD22" s="83"/>
      <c r="AE22" s="113">
        <v>36.196199999999997</v>
      </c>
      <c r="AF22" s="114">
        <v>34.352499999999999</v>
      </c>
      <c r="AG22" s="121">
        <v>35.847999999999999</v>
      </c>
      <c r="AI22" s="141"/>
      <c r="AJ22" s="141"/>
      <c r="AK22" s="141"/>
      <c r="AL22" s="141"/>
    </row>
    <row r="23" spans="1:38" ht="15" customHeight="1" x14ac:dyDescent="0.2">
      <c r="B23" s="37" t="s">
        <v>43</v>
      </c>
      <c r="C23" s="19">
        <v>22</v>
      </c>
      <c r="D23" s="31"/>
      <c r="E23" s="31"/>
      <c r="F23" s="31"/>
      <c r="G23" s="31"/>
      <c r="H23" s="105"/>
      <c r="I23" s="106"/>
      <c r="J23" s="85" t="e">
        <f t="shared" ca="1" si="0"/>
        <v>#NAME?</v>
      </c>
      <c r="K23" s="19"/>
      <c r="L23" s="137"/>
      <c r="M23" s="138"/>
      <c r="N23" s="138"/>
      <c r="O23" s="138"/>
      <c r="P23" s="116"/>
      <c r="Q23" s="125"/>
      <c r="R23" s="85" t="e">
        <f t="shared" ca="1" si="1"/>
        <v>#NAME?</v>
      </c>
      <c r="S23" s="83"/>
      <c r="T23" s="94" t="e">
        <f ca="1">bdrate(D23:D26,E23:E26,L23:L26,M23:M26)</f>
        <v>#NAME?</v>
      </c>
      <c r="U23" s="95" t="e">
        <f ca="1">bdrate(D23:D26,F23:F26,L23:L26,N23:N26)</f>
        <v>#NAME?</v>
      </c>
      <c r="V23" s="95" t="e">
        <f ca="1">bdrate(D23:D26,G23:G26,L23:L26,O23:O26)</f>
        <v>#NAME?</v>
      </c>
      <c r="W23" s="95" t="e">
        <f ca="1">bdrateOld(D23:D26,E23:E26,L23:L26,M23:M26)</f>
        <v>#NAME?</v>
      </c>
      <c r="X23" s="95" t="e">
        <f ca="1">bdrateOld(D23:D26,F23:F26,L23:L26,N23:N26)</f>
        <v>#NAME?</v>
      </c>
      <c r="Y23" s="95" t="e">
        <f ca="1">bdrateOld(D23:D26,G23:G26,L23:L26,O23:O26)</f>
        <v>#NAME?</v>
      </c>
      <c r="Z23" s="19"/>
      <c r="AA23" s="31"/>
      <c r="AB23" s="31"/>
      <c r="AC23" s="31"/>
      <c r="AD23" s="83"/>
      <c r="AE23" s="115">
        <v>48.8</v>
      </c>
      <c r="AF23" s="116">
        <v>46.731900000000003</v>
      </c>
      <c r="AG23" s="125">
        <v>46.8752</v>
      </c>
      <c r="AI23" s="141"/>
      <c r="AJ23" s="141"/>
      <c r="AK23" s="141"/>
      <c r="AL23" s="141"/>
    </row>
    <row r="24" spans="1:38" ht="15" customHeight="1" x14ac:dyDescent="0.2">
      <c r="B24" s="36"/>
      <c r="C24" s="19">
        <v>27</v>
      </c>
      <c r="D24" s="24"/>
      <c r="E24" s="24"/>
      <c r="F24" s="24"/>
      <c r="G24" s="24"/>
      <c r="H24" s="101"/>
      <c r="I24" s="102"/>
      <c r="J24" s="85" t="e">
        <f t="shared" ca="1" si="0"/>
        <v>#NAME?</v>
      </c>
      <c r="K24" s="19"/>
      <c r="L24" s="133"/>
      <c r="M24" s="134"/>
      <c r="N24" s="134"/>
      <c r="O24" s="134"/>
      <c r="P24" s="112"/>
      <c r="Q24" s="120"/>
      <c r="R24" s="85" t="e">
        <f t="shared" ca="1" si="1"/>
        <v>#NAME?</v>
      </c>
      <c r="S24" s="83"/>
      <c r="T24" s="90"/>
      <c r="U24" s="91"/>
      <c r="V24" s="91"/>
      <c r="W24" s="91"/>
      <c r="X24" s="91"/>
      <c r="Y24" s="91"/>
      <c r="Z24" s="19"/>
      <c r="AA24" s="24"/>
      <c r="AB24" s="24"/>
      <c r="AC24" s="24"/>
      <c r="AD24" s="83"/>
      <c r="AE24" s="111">
        <v>45.002000000000002</v>
      </c>
      <c r="AF24" s="112">
        <v>42.318800000000003</v>
      </c>
      <c r="AG24" s="120">
        <v>42.814700000000002</v>
      </c>
      <c r="AI24" s="141"/>
      <c r="AJ24" s="141"/>
      <c r="AK24" s="141"/>
      <c r="AL24" s="141"/>
    </row>
    <row r="25" spans="1:38" ht="15" customHeight="1" x14ac:dyDescent="0.2">
      <c r="B25" s="36"/>
      <c r="C25" s="19">
        <v>32</v>
      </c>
      <c r="D25" s="24"/>
      <c r="E25" s="24"/>
      <c r="F25" s="24"/>
      <c r="G25" s="24"/>
      <c r="H25" s="101"/>
      <c r="I25" s="102"/>
      <c r="J25" s="85" t="e">
        <f t="shared" ca="1" si="0"/>
        <v>#NAME?</v>
      </c>
      <c r="K25" s="19"/>
      <c r="L25" s="133"/>
      <c r="M25" s="134"/>
      <c r="N25" s="134"/>
      <c r="O25" s="134"/>
      <c r="P25" s="112"/>
      <c r="Q25" s="120"/>
      <c r="R25" s="85" t="e">
        <f t="shared" ca="1" si="1"/>
        <v>#NAME?</v>
      </c>
      <c r="S25" s="83"/>
      <c r="T25" s="90"/>
      <c r="U25" s="91"/>
      <c r="V25" s="91"/>
      <c r="W25" s="91"/>
      <c r="X25" s="91"/>
      <c r="Y25" s="91"/>
      <c r="Z25" s="19"/>
      <c r="AA25" s="24"/>
      <c r="AB25" s="24"/>
      <c r="AC25" s="24"/>
      <c r="AD25" s="83"/>
      <c r="AE25" s="111">
        <v>40.948</v>
      </c>
      <c r="AF25" s="112">
        <v>37.621699999999997</v>
      </c>
      <c r="AG25" s="120">
        <v>38.431199999999997</v>
      </c>
      <c r="AI25" s="141"/>
      <c r="AJ25" s="141"/>
      <c r="AK25" s="141"/>
      <c r="AL25" s="141"/>
    </row>
    <row r="26" spans="1:38" ht="15" customHeight="1" x14ac:dyDescent="0.2">
      <c r="B26" s="48"/>
      <c r="C26" s="19">
        <v>37</v>
      </c>
      <c r="D26" s="25"/>
      <c r="E26" s="25"/>
      <c r="F26" s="25"/>
      <c r="G26" s="25"/>
      <c r="H26" s="103"/>
      <c r="I26" s="104"/>
      <c r="J26" s="86" t="e">
        <f t="shared" ca="1" si="0"/>
        <v>#NAME?</v>
      </c>
      <c r="K26" s="19"/>
      <c r="L26" s="135"/>
      <c r="M26" s="136"/>
      <c r="N26" s="136"/>
      <c r="O26" s="136"/>
      <c r="P26" s="114"/>
      <c r="Q26" s="121"/>
      <c r="R26" s="86" t="e">
        <f t="shared" ca="1" si="1"/>
        <v>#NAME?</v>
      </c>
      <c r="S26" s="83"/>
      <c r="T26" s="92"/>
      <c r="U26" s="93"/>
      <c r="V26" s="93"/>
      <c r="W26" s="93"/>
      <c r="X26" s="93"/>
      <c r="Y26" s="93"/>
      <c r="Z26" s="19"/>
      <c r="AA26" s="25"/>
      <c r="AB26" s="25"/>
      <c r="AC26" s="25"/>
      <c r="AD26" s="83"/>
      <c r="AE26" s="113">
        <v>36.667299999999997</v>
      </c>
      <c r="AF26" s="114">
        <v>32.985999999999997</v>
      </c>
      <c r="AG26" s="121">
        <v>34.013599999999997</v>
      </c>
      <c r="AI26" s="141"/>
      <c r="AJ26" s="141"/>
      <c r="AK26" s="141"/>
      <c r="AL26" s="141"/>
    </row>
    <row r="27" spans="1:38" s="17" customFormat="1" ht="15" customHeight="1" x14ac:dyDescent="0.2">
      <c r="A27" s="55"/>
      <c r="B27" s="37" t="s">
        <v>44</v>
      </c>
      <c r="C27" s="61">
        <v>22</v>
      </c>
      <c r="D27" s="24"/>
      <c r="E27" s="24"/>
      <c r="F27" s="24"/>
      <c r="G27" s="24"/>
      <c r="H27" s="101"/>
      <c r="I27" s="102"/>
      <c r="J27" s="85" t="e">
        <f t="shared" ca="1" si="0"/>
        <v>#NAME?</v>
      </c>
      <c r="K27" s="19"/>
      <c r="L27" s="133"/>
      <c r="M27" s="134"/>
      <c r="N27" s="134"/>
      <c r="O27" s="134"/>
      <c r="P27" s="112"/>
      <c r="Q27" s="120"/>
      <c r="R27" s="85" t="e">
        <f t="shared" ca="1" si="1"/>
        <v>#NAME?</v>
      </c>
      <c r="S27" s="83"/>
      <c r="T27" s="90" t="e">
        <f ca="1">bdrate(D27:D30,E27:E30,L27:L30,M27:M30)</f>
        <v>#NAME?</v>
      </c>
      <c r="U27" s="91" t="e">
        <f ca="1">bdrate(D27:D30,F27:F30,L27:L30,N27:N30)</f>
        <v>#NAME?</v>
      </c>
      <c r="V27" s="91" t="e">
        <f ca="1">bdrate(D27:D30,G27:G30,L27:L30,O27:O30)</f>
        <v>#NAME?</v>
      </c>
      <c r="W27" s="91" t="e">
        <f ca="1">bdrateOld(D27:D30,E27:E30,L27:L30,M27:M30)</f>
        <v>#NAME?</v>
      </c>
      <c r="X27" s="91" t="e">
        <f ca="1">bdrateOld(D27:D30,F27:F30,L27:L30,N27:N30)</f>
        <v>#NAME?</v>
      </c>
      <c r="Y27" s="91" t="e">
        <f ca="1">bdrateOld(D27:D30,G27:G30,L27:L30,O27:O30)</f>
        <v>#NAME?</v>
      </c>
      <c r="Z27" s="19"/>
      <c r="AA27" s="24"/>
      <c r="AB27" s="24"/>
      <c r="AC27" s="24"/>
      <c r="AD27" s="83"/>
      <c r="AE27" s="111">
        <v>51.592199999999998</v>
      </c>
      <c r="AF27" s="112">
        <v>50.166499999999999</v>
      </c>
      <c r="AG27" s="120">
        <v>50.653700000000001</v>
      </c>
      <c r="AI27" s="141"/>
      <c r="AJ27" s="141"/>
      <c r="AK27" s="141"/>
      <c r="AL27" s="141"/>
    </row>
    <row r="28" spans="1:38" s="17" customFormat="1" ht="15" customHeight="1" x14ac:dyDescent="0.2">
      <c r="A28" s="55"/>
      <c r="B28" s="48"/>
      <c r="C28" s="19">
        <v>27</v>
      </c>
      <c r="D28" s="24"/>
      <c r="E28" s="24"/>
      <c r="F28" s="24"/>
      <c r="G28" s="24"/>
      <c r="H28" s="101"/>
      <c r="I28" s="102"/>
      <c r="J28" s="85" t="e">
        <f t="shared" ca="1" si="0"/>
        <v>#NAME?</v>
      </c>
      <c r="K28" s="19"/>
      <c r="L28" s="133"/>
      <c r="M28" s="134"/>
      <c r="N28" s="134"/>
      <c r="O28" s="134"/>
      <c r="P28" s="112"/>
      <c r="Q28" s="120"/>
      <c r="R28" s="85" t="e">
        <f t="shared" ca="1" si="1"/>
        <v>#NAME?</v>
      </c>
      <c r="S28" s="83"/>
      <c r="T28" s="90"/>
      <c r="U28" s="91"/>
      <c r="V28" s="91"/>
      <c r="W28" s="91"/>
      <c r="X28" s="91"/>
      <c r="Y28" s="91"/>
      <c r="Z28" s="19"/>
      <c r="AA28" s="24"/>
      <c r="AB28" s="24"/>
      <c r="AC28" s="24"/>
      <c r="AD28" s="83"/>
      <c r="AE28" s="111">
        <v>48.291899999999998</v>
      </c>
      <c r="AF28" s="112">
        <v>46.729500000000002</v>
      </c>
      <c r="AG28" s="120">
        <v>47.2483</v>
      </c>
      <c r="AI28" s="141"/>
      <c r="AJ28" s="141"/>
      <c r="AK28" s="141"/>
      <c r="AL28" s="141"/>
    </row>
    <row r="29" spans="1:38" s="17" customFormat="1" ht="15" customHeight="1" x14ac:dyDescent="0.2">
      <c r="A29" s="55"/>
      <c r="B29" s="48"/>
      <c r="C29" s="19">
        <v>32</v>
      </c>
      <c r="D29" s="24"/>
      <c r="E29" s="24"/>
      <c r="F29" s="24"/>
      <c r="G29" s="24"/>
      <c r="H29" s="101"/>
      <c r="I29" s="102"/>
      <c r="J29" s="85" t="e">
        <f t="shared" ca="1" si="0"/>
        <v>#NAME?</v>
      </c>
      <c r="K29" s="19"/>
      <c r="L29" s="133"/>
      <c r="M29" s="134"/>
      <c r="N29" s="134"/>
      <c r="O29" s="134"/>
      <c r="P29" s="112"/>
      <c r="Q29" s="120"/>
      <c r="R29" s="85" t="e">
        <f t="shared" ca="1" si="1"/>
        <v>#NAME?</v>
      </c>
      <c r="S29" s="83"/>
      <c r="T29" s="90"/>
      <c r="U29" s="91"/>
      <c r="V29" s="91"/>
      <c r="W29" s="91"/>
      <c r="X29" s="91"/>
      <c r="Y29" s="91"/>
      <c r="Z29" s="19"/>
      <c r="AA29" s="24"/>
      <c r="AB29" s="24"/>
      <c r="AC29" s="24"/>
      <c r="AD29" s="83"/>
      <c r="AE29" s="111">
        <v>44.905700000000003</v>
      </c>
      <c r="AF29" s="112">
        <v>43.181199999999997</v>
      </c>
      <c r="AG29" s="120">
        <v>43.777999999999999</v>
      </c>
      <c r="AI29" s="141"/>
      <c r="AJ29" s="141"/>
      <c r="AK29" s="141"/>
      <c r="AL29" s="141"/>
    </row>
    <row r="30" spans="1:38" s="17" customFormat="1" ht="15" customHeight="1" thickBot="1" x14ac:dyDescent="0.25">
      <c r="A30" s="55"/>
      <c r="B30" s="78"/>
      <c r="C30" s="20">
        <v>37</v>
      </c>
      <c r="D30" s="33"/>
      <c r="E30" s="33"/>
      <c r="F30" s="33"/>
      <c r="G30" s="33"/>
      <c r="H30" s="107"/>
      <c r="I30" s="108"/>
      <c r="J30" s="87" t="e">
        <f t="shared" ca="1" si="0"/>
        <v>#NAME?</v>
      </c>
      <c r="K30" s="19"/>
      <c r="L30" s="139"/>
      <c r="M30" s="140"/>
      <c r="N30" s="140"/>
      <c r="O30" s="140"/>
      <c r="P30" s="118"/>
      <c r="Q30" s="124"/>
      <c r="R30" s="87" t="e">
        <f t="shared" ca="1" si="1"/>
        <v>#NAME?</v>
      </c>
      <c r="S30" s="83"/>
      <c r="T30" s="96"/>
      <c r="U30" s="97"/>
      <c r="V30" s="97"/>
      <c r="W30" s="97"/>
      <c r="X30" s="97"/>
      <c r="Y30" s="97"/>
      <c r="Z30" s="19"/>
      <c r="AA30" s="33"/>
      <c r="AB30" s="33"/>
      <c r="AC30" s="33"/>
      <c r="AD30" s="83"/>
      <c r="AE30" s="117">
        <v>41.3857</v>
      </c>
      <c r="AF30" s="118">
        <v>39.543700000000001</v>
      </c>
      <c r="AG30" s="124">
        <v>40.234999999999999</v>
      </c>
      <c r="AI30" s="141"/>
      <c r="AJ30" s="141"/>
      <c r="AK30" s="141"/>
      <c r="AL30" s="141"/>
    </row>
    <row r="31" spans="1:38" s="17" customFormat="1" ht="15" customHeight="1" x14ac:dyDescent="0.25">
      <c r="A31" s="54" t="s">
        <v>23</v>
      </c>
      <c r="B31" s="34" t="s">
        <v>45</v>
      </c>
      <c r="C31" s="18">
        <v>22</v>
      </c>
      <c r="D31" s="43"/>
      <c r="E31" s="43"/>
      <c r="F31" s="43"/>
      <c r="G31" s="43"/>
      <c r="H31" s="99"/>
      <c r="I31" s="100"/>
      <c r="J31" s="85" t="e">
        <f t="shared" ca="1" si="0"/>
        <v>#NAME?</v>
      </c>
      <c r="K31" s="19"/>
      <c r="L31" s="133"/>
      <c r="M31" s="134"/>
      <c r="N31" s="134"/>
      <c r="O31" s="134"/>
      <c r="P31" s="112"/>
      <c r="Q31" s="120"/>
      <c r="R31" s="85" t="e">
        <f t="shared" ca="1" si="1"/>
        <v>#NAME?</v>
      </c>
      <c r="S31" s="83"/>
      <c r="T31" s="90" t="e">
        <f ca="1">bdrate(D31:D34,E31:E34,L31:L34,M31:M34)</f>
        <v>#NAME?</v>
      </c>
      <c r="U31" s="91" t="e">
        <f ca="1">bdrate(D31:D34,F31:F34,L31:L34,N31:N34)</f>
        <v>#NAME?</v>
      </c>
      <c r="V31" s="91" t="e">
        <f ca="1">bdrate(D31:D34,G31:G34,L31:L34,O31:O34)</f>
        <v>#NAME?</v>
      </c>
      <c r="W31" s="91" t="e">
        <f ca="1">bdrateOld(D31:D34,E31:E34,L31:L34,M31:M34)</f>
        <v>#NAME?</v>
      </c>
      <c r="X31" s="91" t="e">
        <f ca="1">bdrateOld(D31:D34,F31:F34,L31:L34,N31:N34)</f>
        <v>#NAME?</v>
      </c>
      <c r="Y31" s="91" t="e">
        <f ca="1">bdrateOld(D31:D34,G31:G34,L31:L34,O31:O34)</f>
        <v>#NAME?</v>
      </c>
      <c r="Z31" s="19"/>
      <c r="AA31" s="43"/>
      <c r="AB31" s="43"/>
      <c r="AC31" s="43"/>
      <c r="AD31" s="83"/>
      <c r="AE31" s="111">
        <v>48.131300000000003</v>
      </c>
      <c r="AF31" s="112">
        <v>46.245699999999999</v>
      </c>
      <c r="AG31" s="120">
        <v>46.174500000000002</v>
      </c>
      <c r="AI31" s="141"/>
      <c r="AJ31" s="141"/>
      <c r="AK31" s="141"/>
      <c r="AL31" s="141"/>
    </row>
    <row r="32" spans="1:38" ht="15" customHeight="1" x14ac:dyDescent="0.2">
      <c r="B32" s="36"/>
      <c r="C32" s="19">
        <v>27</v>
      </c>
      <c r="D32" s="24"/>
      <c r="E32" s="24"/>
      <c r="F32" s="24"/>
      <c r="G32" s="24"/>
      <c r="H32" s="101"/>
      <c r="I32" s="102"/>
      <c r="J32" s="85" t="e">
        <f t="shared" ca="1" si="0"/>
        <v>#NAME?</v>
      </c>
      <c r="K32" s="19"/>
      <c r="L32" s="133"/>
      <c r="M32" s="134"/>
      <c r="N32" s="134"/>
      <c r="O32" s="134"/>
      <c r="P32" s="112"/>
      <c r="Q32" s="120"/>
      <c r="R32" s="85" t="e">
        <f t="shared" ca="1" si="1"/>
        <v>#NAME?</v>
      </c>
      <c r="S32" s="83"/>
      <c r="T32" s="90"/>
      <c r="U32" s="91"/>
      <c r="V32" s="91"/>
      <c r="W32" s="91"/>
      <c r="X32" s="91"/>
      <c r="Y32" s="91"/>
      <c r="Z32" s="19"/>
      <c r="AA32" s="24"/>
      <c r="AB32" s="24"/>
      <c r="AC32" s="24"/>
      <c r="AD32" s="83"/>
      <c r="AE32" s="111">
        <v>44.442599999999999</v>
      </c>
      <c r="AF32" s="112">
        <v>42.547499999999999</v>
      </c>
      <c r="AG32" s="120">
        <v>42.468400000000003</v>
      </c>
      <c r="AI32" s="141"/>
      <c r="AJ32" s="141"/>
      <c r="AK32" s="141"/>
      <c r="AL32" s="141"/>
    </row>
    <row r="33" spans="1:38" ht="15" customHeight="1" x14ac:dyDescent="0.2">
      <c r="B33" s="36"/>
      <c r="C33" s="19">
        <v>32</v>
      </c>
      <c r="D33" s="24"/>
      <c r="E33" s="24"/>
      <c r="F33" s="24"/>
      <c r="G33" s="24"/>
      <c r="H33" s="101"/>
      <c r="I33" s="102"/>
      <c r="J33" s="85" t="e">
        <f t="shared" ca="1" si="0"/>
        <v>#NAME?</v>
      </c>
      <c r="K33" s="19"/>
      <c r="L33" s="133"/>
      <c r="M33" s="134"/>
      <c r="N33" s="134"/>
      <c r="O33" s="134"/>
      <c r="P33" s="112"/>
      <c r="Q33" s="120"/>
      <c r="R33" s="85" t="e">
        <f t="shared" ca="1" si="1"/>
        <v>#NAME?</v>
      </c>
      <c r="S33" s="83"/>
      <c r="T33" s="90"/>
      <c r="U33" s="91"/>
      <c r="V33" s="91"/>
      <c r="W33" s="91"/>
      <c r="X33" s="91"/>
      <c r="Y33" s="91"/>
      <c r="Z33" s="19"/>
      <c r="AA33" s="24"/>
      <c r="AB33" s="24"/>
      <c r="AC33" s="24"/>
      <c r="AD33" s="83"/>
      <c r="AE33" s="111">
        <v>40.836300000000001</v>
      </c>
      <c r="AF33" s="112">
        <v>38.804499999999997</v>
      </c>
      <c r="AG33" s="120">
        <v>38.677500000000002</v>
      </c>
      <c r="AI33" s="141"/>
      <c r="AJ33" s="141"/>
      <c r="AK33" s="141"/>
      <c r="AL33" s="141"/>
    </row>
    <row r="34" spans="1:38" ht="15" customHeight="1" x14ac:dyDescent="0.2">
      <c r="B34" s="36"/>
      <c r="C34" s="60">
        <v>37</v>
      </c>
      <c r="D34" s="25"/>
      <c r="E34" s="25"/>
      <c r="F34" s="25"/>
      <c r="G34" s="25"/>
      <c r="H34" s="103"/>
      <c r="I34" s="104"/>
      <c r="J34" s="86" t="e">
        <f t="shared" ca="1" si="0"/>
        <v>#NAME?</v>
      </c>
      <c r="K34" s="19"/>
      <c r="L34" s="135"/>
      <c r="M34" s="136"/>
      <c r="N34" s="136"/>
      <c r="O34" s="136"/>
      <c r="P34" s="114"/>
      <c r="Q34" s="121"/>
      <c r="R34" s="86" t="e">
        <f t="shared" ca="1" si="1"/>
        <v>#NAME?</v>
      </c>
      <c r="S34" s="83"/>
      <c r="T34" s="92"/>
      <c r="U34" s="93"/>
      <c r="V34" s="93"/>
      <c r="W34" s="93"/>
      <c r="X34" s="93"/>
      <c r="Y34" s="93"/>
      <c r="Z34" s="19"/>
      <c r="AA34" s="25"/>
      <c r="AB34" s="25"/>
      <c r="AC34" s="25"/>
      <c r="AD34" s="83"/>
      <c r="AE34" s="113">
        <v>37.116700000000002</v>
      </c>
      <c r="AF34" s="114">
        <v>34.880600000000001</v>
      </c>
      <c r="AG34" s="121">
        <v>34.721600000000002</v>
      </c>
      <c r="AI34" s="141"/>
      <c r="AJ34" s="141"/>
      <c r="AK34" s="141"/>
      <c r="AL34" s="141"/>
    </row>
    <row r="35" spans="1:38" ht="15" customHeight="1" x14ac:dyDescent="0.2">
      <c r="B35" s="37" t="s">
        <v>46</v>
      </c>
      <c r="C35" s="19">
        <v>22</v>
      </c>
      <c r="D35" s="24"/>
      <c r="E35" s="24"/>
      <c r="F35" s="24"/>
      <c r="G35" s="24"/>
      <c r="H35" s="101"/>
      <c r="I35" s="102"/>
      <c r="J35" s="85" t="e">
        <f t="shared" ca="1" si="0"/>
        <v>#NAME?</v>
      </c>
      <c r="K35" s="19"/>
      <c r="L35" s="133"/>
      <c r="M35" s="134"/>
      <c r="N35" s="134"/>
      <c r="O35" s="134"/>
      <c r="P35" s="112"/>
      <c r="Q35" s="120"/>
      <c r="R35" s="85" t="e">
        <f t="shared" ca="1" si="1"/>
        <v>#NAME?</v>
      </c>
      <c r="S35" s="83"/>
      <c r="T35" s="90" t="e">
        <f ca="1">bdrate(D35:D38,E35:E38,L35:L38,M35:M38)</f>
        <v>#NAME?</v>
      </c>
      <c r="U35" s="91" t="e">
        <f ca="1">bdrate(D35:D38,F35:F38,L35:L38,N35:N38)</f>
        <v>#NAME?</v>
      </c>
      <c r="V35" s="91" t="e">
        <f ca="1">bdrate(D35:D38,G35:G38,L35:L38,O35:O38)</f>
        <v>#NAME?</v>
      </c>
      <c r="W35" s="91" t="e">
        <f ca="1">bdrateOld(D35:D38,E35:E38,L35:L38,M35:M38)</f>
        <v>#NAME?</v>
      </c>
      <c r="X35" s="91" t="e">
        <f ca="1">bdrateOld(D35:D38,F35:F38,L35:L38,N35:N38)</f>
        <v>#NAME?</v>
      </c>
      <c r="Y35" s="91" t="e">
        <f ca="1">bdrateOld(D35:D38,G35:G38,L35:L38,O35:O38)</f>
        <v>#NAME?</v>
      </c>
      <c r="Z35" s="19"/>
      <c r="AA35" s="24"/>
      <c r="AB35" s="24"/>
      <c r="AC35" s="24"/>
      <c r="AD35" s="83"/>
      <c r="AE35" s="111">
        <v>47.590899999999998</v>
      </c>
      <c r="AF35" s="112">
        <v>46.233899999999998</v>
      </c>
      <c r="AG35" s="120">
        <v>46.437800000000003</v>
      </c>
      <c r="AI35" s="141"/>
      <c r="AJ35" s="141"/>
      <c r="AK35" s="141"/>
      <c r="AL35" s="141"/>
    </row>
    <row r="36" spans="1:38" ht="15" customHeight="1" x14ac:dyDescent="0.2">
      <c r="B36" s="36"/>
      <c r="C36" s="19">
        <v>27</v>
      </c>
      <c r="D36" s="24"/>
      <c r="E36" s="24"/>
      <c r="F36" s="24"/>
      <c r="G36" s="24"/>
      <c r="H36" s="101"/>
      <c r="I36" s="102"/>
      <c r="J36" s="85" t="e">
        <f t="shared" ca="1" si="0"/>
        <v>#NAME?</v>
      </c>
      <c r="K36" s="19"/>
      <c r="L36" s="133"/>
      <c r="M36" s="134"/>
      <c r="N36" s="134"/>
      <c r="O36" s="134"/>
      <c r="P36" s="112"/>
      <c r="Q36" s="120"/>
      <c r="R36" s="85" t="e">
        <f t="shared" ca="1" si="1"/>
        <v>#NAME?</v>
      </c>
      <c r="S36" s="83"/>
      <c r="T36" s="90"/>
      <c r="U36" s="91"/>
      <c r="V36" s="91"/>
      <c r="W36" s="91"/>
      <c r="X36" s="91"/>
      <c r="Y36" s="91"/>
      <c r="Z36" s="19"/>
      <c r="AA36" s="24"/>
      <c r="AB36" s="24"/>
      <c r="AC36" s="24"/>
      <c r="AD36" s="83"/>
      <c r="AE36" s="111">
        <v>44.534100000000002</v>
      </c>
      <c r="AF36" s="112">
        <v>43.337299999999999</v>
      </c>
      <c r="AG36" s="120">
        <v>43.341299999999997</v>
      </c>
      <c r="AI36" s="141"/>
      <c r="AJ36" s="141"/>
      <c r="AK36" s="141"/>
      <c r="AL36" s="141"/>
    </row>
    <row r="37" spans="1:38" ht="15" customHeight="1" x14ac:dyDescent="0.2">
      <c r="B37" s="36"/>
      <c r="C37" s="19">
        <v>32</v>
      </c>
      <c r="D37" s="24"/>
      <c r="E37" s="24"/>
      <c r="F37" s="24"/>
      <c r="G37" s="24"/>
      <c r="H37" s="101"/>
      <c r="I37" s="102"/>
      <c r="J37" s="85" t="e">
        <f t="shared" ca="1" si="0"/>
        <v>#NAME?</v>
      </c>
      <c r="K37" s="19"/>
      <c r="L37" s="133"/>
      <c r="M37" s="134"/>
      <c r="N37" s="134"/>
      <c r="O37" s="134"/>
      <c r="P37" s="112"/>
      <c r="Q37" s="120"/>
      <c r="R37" s="85" t="e">
        <f t="shared" ca="1" si="1"/>
        <v>#NAME?</v>
      </c>
      <c r="S37" s="83"/>
      <c r="T37" s="90"/>
      <c r="U37" s="91"/>
      <c r="V37" s="91"/>
      <c r="W37" s="91"/>
      <c r="X37" s="91"/>
      <c r="Y37" s="91"/>
      <c r="Z37" s="19"/>
      <c r="AA37" s="24"/>
      <c r="AB37" s="24"/>
      <c r="AC37" s="24"/>
      <c r="AD37" s="83"/>
      <c r="AE37" s="111">
        <v>41.098399999999998</v>
      </c>
      <c r="AF37" s="112">
        <v>39.836500000000001</v>
      </c>
      <c r="AG37" s="120">
        <v>39.715699999999998</v>
      </c>
      <c r="AI37" s="141"/>
      <c r="AJ37" s="141"/>
      <c r="AK37" s="141"/>
      <c r="AL37" s="141"/>
    </row>
    <row r="38" spans="1:38" ht="15" customHeight="1" thickBot="1" x14ac:dyDescent="0.25">
      <c r="B38" s="42"/>
      <c r="C38" s="20">
        <v>37</v>
      </c>
      <c r="D38" s="33"/>
      <c r="E38" s="33"/>
      <c r="F38" s="33"/>
      <c r="G38" s="33"/>
      <c r="H38" s="107"/>
      <c r="I38" s="108"/>
      <c r="J38" s="87" t="e">
        <f t="shared" ca="1" si="0"/>
        <v>#NAME?</v>
      </c>
      <c r="K38" s="19"/>
      <c r="L38" s="139"/>
      <c r="M38" s="140"/>
      <c r="N38" s="140"/>
      <c r="O38" s="140"/>
      <c r="P38" s="118"/>
      <c r="Q38" s="124"/>
      <c r="R38" s="87" t="e">
        <f t="shared" ca="1" si="1"/>
        <v>#NAME?</v>
      </c>
      <c r="S38" s="83"/>
      <c r="T38" s="96"/>
      <c r="U38" s="97"/>
      <c r="V38" s="97"/>
      <c r="W38" s="97"/>
      <c r="X38" s="97"/>
      <c r="Y38" s="97"/>
      <c r="Z38" s="19"/>
      <c r="AA38" s="33"/>
      <c r="AB38" s="33"/>
      <c r="AC38" s="33"/>
      <c r="AD38" s="83"/>
      <c r="AE38" s="117">
        <v>37.522399999999998</v>
      </c>
      <c r="AF38" s="118">
        <v>36.011000000000003</v>
      </c>
      <c r="AG38" s="124">
        <v>35.856299999999997</v>
      </c>
      <c r="AI38" s="141"/>
      <c r="AJ38" s="141"/>
      <c r="AK38" s="141"/>
      <c r="AL38" s="141"/>
    </row>
    <row r="39" spans="1:38" ht="15" customHeight="1" x14ac:dyDescent="0.25">
      <c r="A39" s="54" t="s">
        <v>24</v>
      </c>
      <c r="B39" s="34" t="s">
        <v>47</v>
      </c>
      <c r="C39" s="18">
        <v>22</v>
      </c>
      <c r="D39" s="43"/>
      <c r="E39" s="43"/>
      <c r="F39" s="43"/>
      <c r="G39" s="43"/>
      <c r="H39" s="99"/>
      <c r="I39" s="100"/>
      <c r="J39" s="85" t="e">
        <f t="shared" ca="1" si="0"/>
        <v>#NAME?</v>
      </c>
      <c r="K39" s="19"/>
      <c r="L39" s="133"/>
      <c r="M39" s="134"/>
      <c r="N39" s="134"/>
      <c r="O39" s="134"/>
      <c r="P39" s="112"/>
      <c r="Q39" s="120"/>
      <c r="R39" s="85" t="e">
        <f t="shared" ca="1" si="1"/>
        <v>#NAME?</v>
      </c>
      <c r="S39" s="83"/>
      <c r="T39" s="90" t="e">
        <f ca="1">bdrate(D39:D42,E39:E42,L39:L42,M39:M42)</f>
        <v>#NAME?</v>
      </c>
      <c r="U39" s="91" t="e">
        <f ca="1">bdrate(D39:D42,F39:F42,L39:L42,N39:N42)</f>
        <v>#NAME?</v>
      </c>
      <c r="V39" s="91" t="e">
        <f ca="1">bdrate(D39:D42,G39:G42,L39:L42,O39:O42)</f>
        <v>#NAME?</v>
      </c>
      <c r="W39" s="91" t="e">
        <f ca="1">bdrateOld(D39:D42,E39:E42,L39:L42,M39:M42)</f>
        <v>#NAME?</v>
      </c>
      <c r="X39" s="91" t="e">
        <f ca="1">bdrateOld(D39:D42,F39:F42,L39:L42,N39:N42)</f>
        <v>#NAME?</v>
      </c>
      <c r="Y39" s="91" t="e">
        <f ca="1">bdrateOld(D39:D42,G39:G42,L39:L42,O39:O42)</f>
        <v>#NAME?</v>
      </c>
      <c r="Z39" s="19"/>
      <c r="AA39" s="43"/>
      <c r="AB39" s="43"/>
      <c r="AC39" s="43"/>
      <c r="AD39" s="83"/>
      <c r="AE39" s="111">
        <v>48.337400000000002</v>
      </c>
      <c r="AF39" s="112">
        <v>46.792000000000002</v>
      </c>
      <c r="AG39" s="120">
        <v>46.876199999999997</v>
      </c>
      <c r="AI39" s="141"/>
      <c r="AJ39" s="141"/>
      <c r="AK39" s="141"/>
      <c r="AL39" s="141"/>
    </row>
    <row r="40" spans="1:38" ht="15" customHeight="1" x14ac:dyDescent="0.2">
      <c r="B40" s="36"/>
      <c r="C40" s="19">
        <v>27</v>
      </c>
      <c r="D40" s="24"/>
      <c r="E40" s="24"/>
      <c r="F40" s="24"/>
      <c r="G40" s="24"/>
      <c r="H40" s="101"/>
      <c r="I40" s="102"/>
      <c r="J40" s="85" t="e">
        <f t="shared" ca="1" si="0"/>
        <v>#NAME?</v>
      </c>
      <c r="K40" s="19"/>
      <c r="L40" s="133"/>
      <c r="M40" s="134"/>
      <c r="N40" s="134"/>
      <c r="O40" s="134"/>
      <c r="P40" s="112"/>
      <c r="Q40" s="120"/>
      <c r="R40" s="85" t="e">
        <f t="shared" ca="1" si="1"/>
        <v>#NAME?</v>
      </c>
      <c r="S40" s="83"/>
      <c r="T40" s="90"/>
      <c r="U40" s="91"/>
      <c r="V40" s="91"/>
      <c r="W40" s="91"/>
      <c r="X40" s="91"/>
      <c r="Y40" s="91"/>
      <c r="Z40" s="19"/>
      <c r="AA40" s="24"/>
      <c r="AB40" s="24"/>
      <c r="AC40" s="24"/>
      <c r="AD40" s="83"/>
      <c r="AE40" s="111">
        <v>44.756500000000003</v>
      </c>
      <c r="AF40" s="112">
        <v>43.208399999999997</v>
      </c>
      <c r="AG40" s="120">
        <v>43.160699999999999</v>
      </c>
      <c r="AI40" s="141"/>
      <c r="AJ40" s="141"/>
      <c r="AK40" s="141"/>
      <c r="AL40" s="141"/>
    </row>
    <row r="41" spans="1:38" ht="15" customHeight="1" x14ac:dyDescent="0.2">
      <c r="B41" s="36"/>
      <c r="C41" s="19">
        <v>32</v>
      </c>
      <c r="D41" s="24"/>
      <c r="E41" s="24"/>
      <c r="F41" s="24"/>
      <c r="G41" s="24"/>
      <c r="H41" s="101"/>
      <c r="I41" s="102"/>
      <c r="J41" s="85" t="e">
        <f t="shared" ca="1" si="0"/>
        <v>#NAME?</v>
      </c>
      <c r="K41" s="19"/>
      <c r="L41" s="133"/>
      <c r="M41" s="134"/>
      <c r="N41" s="134"/>
      <c r="O41" s="134"/>
      <c r="P41" s="112"/>
      <c r="Q41" s="120"/>
      <c r="R41" s="85" t="e">
        <f t="shared" ca="1" si="1"/>
        <v>#NAME?</v>
      </c>
      <c r="S41" s="83"/>
      <c r="T41" s="90"/>
      <c r="U41" s="91"/>
      <c r="V41" s="91"/>
      <c r="W41" s="91"/>
      <c r="X41" s="91"/>
      <c r="Y41" s="91"/>
      <c r="Z41" s="19"/>
      <c r="AA41" s="24"/>
      <c r="AB41" s="24"/>
      <c r="AC41" s="24"/>
      <c r="AD41" s="83"/>
      <c r="AE41" s="111">
        <v>40.916499999999999</v>
      </c>
      <c r="AF41" s="112">
        <v>39.200299999999999</v>
      </c>
      <c r="AG41" s="120">
        <v>39.087499999999999</v>
      </c>
      <c r="AI41" s="141"/>
      <c r="AJ41" s="141"/>
      <c r="AK41" s="141"/>
      <c r="AL41" s="141"/>
    </row>
    <row r="42" spans="1:38" ht="15" customHeight="1" thickBot="1" x14ac:dyDescent="0.25">
      <c r="B42" s="35"/>
      <c r="C42" s="19">
        <v>37</v>
      </c>
      <c r="D42" s="24"/>
      <c r="E42" s="24"/>
      <c r="F42" s="24"/>
      <c r="G42" s="24"/>
      <c r="H42" s="101"/>
      <c r="I42" s="102"/>
      <c r="J42" s="87" t="e">
        <f t="shared" ca="1" si="0"/>
        <v>#NAME?</v>
      </c>
      <c r="K42" s="19"/>
      <c r="L42" s="139"/>
      <c r="M42" s="140"/>
      <c r="N42" s="140"/>
      <c r="O42" s="140"/>
      <c r="P42" s="118"/>
      <c r="Q42" s="124"/>
      <c r="R42" s="87" t="e">
        <f t="shared" ca="1" si="1"/>
        <v>#NAME?</v>
      </c>
      <c r="S42" s="83"/>
      <c r="T42" s="96"/>
      <c r="U42" s="97"/>
      <c r="V42" s="97"/>
      <c r="W42" s="97"/>
      <c r="X42" s="97"/>
      <c r="Y42" s="97"/>
      <c r="Z42" s="19"/>
      <c r="AA42" s="24"/>
      <c r="AB42" s="24"/>
      <c r="AC42" s="24"/>
      <c r="AD42" s="83"/>
      <c r="AE42" s="117">
        <v>36.889800000000001</v>
      </c>
      <c r="AF42" s="118">
        <v>34.966099999999997</v>
      </c>
      <c r="AG42" s="124">
        <v>34.793599999999998</v>
      </c>
      <c r="AI42" s="141"/>
      <c r="AJ42" s="141"/>
      <c r="AK42" s="141"/>
      <c r="AL42" s="141"/>
    </row>
    <row r="43" spans="1:38" ht="15" customHeight="1" x14ac:dyDescent="0.25">
      <c r="A43" s="54" t="s">
        <v>25</v>
      </c>
      <c r="B43" s="34" t="s">
        <v>48</v>
      </c>
      <c r="C43" s="18">
        <v>22</v>
      </c>
      <c r="D43" s="43"/>
      <c r="E43" s="43"/>
      <c r="F43" s="43"/>
      <c r="G43" s="43"/>
      <c r="H43" s="99"/>
      <c r="I43" s="100"/>
      <c r="J43" s="85" t="e">
        <f t="shared" ca="1" si="0"/>
        <v>#NAME?</v>
      </c>
      <c r="K43" s="19"/>
      <c r="L43" s="133"/>
      <c r="M43" s="134"/>
      <c r="N43" s="134"/>
      <c r="O43" s="134"/>
      <c r="P43" s="112"/>
      <c r="Q43" s="120"/>
      <c r="R43" s="85" t="e">
        <f t="shared" ca="1" si="1"/>
        <v>#NAME?</v>
      </c>
      <c r="S43" s="83"/>
      <c r="T43" s="90" t="e">
        <f ca="1">bdrate(D43:D46,E43:E46,L43:L46,M43:M46)</f>
        <v>#NAME?</v>
      </c>
      <c r="U43" s="91" t="e">
        <f ca="1">bdrate(D43:D46,F43:F46,L43:L46,N43:N46)</f>
        <v>#NAME?</v>
      </c>
      <c r="V43" s="91" t="e">
        <f ca="1">bdrate(D43:D46,G43:G46,L43:L46,O43:O46)</f>
        <v>#NAME?</v>
      </c>
      <c r="W43" s="91" t="e">
        <f ca="1">bdrateOld(D43:D46,E43:E46,L43:L46,M43:M46)</f>
        <v>#NAME?</v>
      </c>
      <c r="X43" s="91" t="e">
        <f ca="1">bdrateOld(D43:D46,F43:F46,L43:L46,N43:N46)</f>
        <v>#NAME?</v>
      </c>
      <c r="Y43" s="91" t="e">
        <f ca="1">bdrateOld(D43:D46,G43:G46,L43:L46,O43:O46)</f>
        <v>#NAME?</v>
      </c>
      <c r="Z43" s="19"/>
      <c r="AA43" s="43"/>
      <c r="AB43" s="43"/>
      <c r="AC43" s="43"/>
      <c r="AD43" s="83"/>
      <c r="AE43" s="111">
        <v>43.767099999999999</v>
      </c>
      <c r="AF43" s="112">
        <v>43.242600000000003</v>
      </c>
      <c r="AG43" s="120">
        <v>42.579000000000001</v>
      </c>
      <c r="AI43" s="141"/>
      <c r="AJ43" s="141"/>
      <c r="AK43" s="141"/>
      <c r="AL43" s="141"/>
    </row>
    <row r="44" spans="1:38" ht="15" customHeight="1" x14ac:dyDescent="0.2">
      <c r="B44" s="48"/>
      <c r="C44" s="19">
        <v>27</v>
      </c>
      <c r="D44" s="24"/>
      <c r="E44" s="24"/>
      <c r="F44" s="24"/>
      <c r="G44" s="24"/>
      <c r="H44" s="101"/>
      <c r="I44" s="102"/>
      <c r="J44" s="85" t="e">
        <f t="shared" ca="1" si="0"/>
        <v>#NAME?</v>
      </c>
      <c r="K44" s="19"/>
      <c r="L44" s="133"/>
      <c r="M44" s="134"/>
      <c r="N44" s="134"/>
      <c r="O44" s="134"/>
      <c r="P44" s="112"/>
      <c r="Q44" s="120"/>
      <c r="R44" s="85" t="e">
        <f t="shared" ca="1" si="1"/>
        <v>#NAME?</v>
      </c>
      <c r="S44" s="83"/>
      <c r="T44" s="90"/>
      <c r="U44" s="91"/>
      <c r="V44" s="91"/>
      <c r="W44" s="91"/>
      <c r="X44" s="91"/>
      <c r="Y44" s="91"/>
      <c r="Z44" s="19"/>
      <c r="AA44" s="24"/>
      <c r="AB44" s="24"/>
      <c r="AC44" s="24"/>
      <c r="AD44" s="83"/>
      <c r="AE44" s="111">
        <v>39.799399999999999</v>
      </c>
      <c r="AF44" s="112">
        <v>39.672199999999997</v>
      </c>
      <c r="AG44" s="120">
        <v>38.847499999999997</v>
      </c>
      <c r="AI44" s="141"/>
      <c r="AJ44" s="141"/>
      <c r="AK44" s="141"/>
      <c r="AL44" s="141"/>
    </row>
    <row r="45" spans="1:38" ht="15" customHeight="1" x14ac:dyDescent="0.2">
      <c r="B45" s="36"/>
      <c r="C45" s="19">
        <v>32</v>
      </c>
      <c r="D45" s="24"/>
      <c r="E45" s="24"/>
      <c r="F45" s="24"/>
      <c r="G45" s="24"/>
      <c r="H45" s="101"/>
      <c r="I45" s="102"/>
      <c r="J45" s="85" t="e">
        <f t="shared" ca="1" si="0"/>
        <v>#NAME?</v>
      </c>
      <c r="K45" s="19"/>
      <c r="L45" s="133"/>
      <c r="M45" s="134"/>
      <c r="N45" s="134"/>
      <c r="O45" s="134"/>
      <c r="P45" s="112"/>
      <c r="Q45" s="120"/>
      <c r="R45" s="85" t="e">
        <f t="shared" ca="1" si="1"/>
        <v>#NAME?</v>
      </c>
      <c r="S45" s="83"/>
      <c r="T45" s="90"/>
      <c r="U45" s="91"/>
      <c r="V45" s="91"/>
      <c r="W45" s="91"/>
      <c r="X45" s="91"/>
      <c r="Y45" s="91"/>
      <c r="Z45" s="19"/>
      <c r="AA45" s="24"/>
      <c r="AB45" s="24"/>
      <c r="AC45" s="24"/>
      <c r="AD45" s="83"/>
      <c r="AE45" s="111">
        <v>35.948099999999997</v>
      </c>
      <c r="AF45" s="112">
        <v>36.04</v>
      </c>
      <c r="AG45" s="120">
        <v>35.105400000000003</v>
      </c>
      <c r="AI45" s="141"/>
      <c r="AJ45" s="141"/>
      <c r="AK45" s="141"/>
      <c r="AL45" s="141"/>
    </row>
    <row r="46" spans="1:38" ht="15" customHeight="1" thickBot="1" x14ac:dyDescent="0.25">
      <c r="B46" s="42"/>
      <c r="C46" s="20">
        <v>37</v>
      </c>
      <c r="D46" s="33"/>
      <c r="E46" s="33"/>
      <c r="F46" s="33"/>
      <c r="G46" s="33"/>
      <c r="H46" s="107"/>
      <c r="I46" s="108"/>
      <c r="J46" s="87" t="e">
        <f t="shared" ca="1" si="0"/>
        <v>#NAME?</v>
      </c>
      <c r="K46" s="19"/>
      <c r="L46" s="139"/>
      <c r="M46" s="140"/>
      <c r="N46" s="140"/>
      <c r="O46" s="140"/>
      <c r="P46" s="118"/>
      <c r="Q46" s="124"/>
      <c r="R46" s="87" t="e">
        <f t="shared" ca="1" si="1"/>
        <v>#NAME?</v>
      </c>
      <c r="S46" s="83"/>
      <c r="T46" s="96"/>
      <c r="U46" s="97"/>
      <c r="V46" s="97"/>
      <c r="W46" s="97"/>
      <c r="X46" s="97"/>
      <c r="Y46" s="97"/>
      <c r="Z46" s="19"/>
      <c r="AA46" s="33"/>
      <c r="AB46" s="33"/>
      <c r="AC46" s="33"/>
      <c r="AD46" s="83"/>
      <c r="AE46" s="117">
        <v>33.067799999999998</v>
      </c>
      <c r="AF46" s="118">
        <v>33.109900000000003</v>
      </c>
      <c r="AG46" s="124">
        <v>32.0929</v>
      </c>
      <c r="AI46" s="141"/>
      <c r="AJ46" s="141"/>
      <c r="AK46" s="141"/>
      <c r="AL46" s="141"/>
    </row>
    <row r="47" spans="1:38" s="21" customFormat="1" ht="15" customHeight="1" x14ac:dyDescent="0.25">
      <c r="A47" s="54" t="s">
        <v>35</v>
      </c>
      <c r="B47" s="34" t="s">
        <v>32</v>
      </c>
      <c r="C47" s="18">
        <v>22</v>
      </c>
      <c r="D47" s="43"/>
      <c r="E47" s="43"/>
      <c r="F47" s="43"/>
      <c r="G47" s="43"/>
      <c r="H47" s="99"/>
      <c r="I47" s="100"/>
      <c r="J47" s="85" t="e">
        <f t="shared" ca="1" si="0"/>
        <v>#NAME?</v>
      </c>
      <c r="K47" s="19"/>
      <c r="L47" s="133"/>
      <c r="M47" s="134"/>
      <c r="N47" s="134"/>
      <c r="O47" s="134"/>
      <c r="P47" s="112"/>
      <c r="Q47" s="120"/>
      <c r="R47" s="85" t="e">
        <f t="shared" ca="1" si="1"/>
        <v>#NAME?</v>
      </c>
      <c r="S47" s="83"/>
      <c r="T47" s="90" t="e">
        <f ca="1">bdrate(D47:D50,E47:E50,L47:L50,M47:M50)</f>
        <v>#NAME?</v>
      </c>
      <c r="U47" s="91" t="e">
        <f ca="1">bdrate(D47:D50,F47:F50,L47:L50,N47:N50)</f>
        <v>#NAME?</v>
      </c>
      <c r="V47" s="91" t="e">
        <f ca="1">bdrate(D47:D50,G47:G50,L47:L50,O47:O50)</f>
        <v>#NAME?</v>
      </c>
      <c r="W47" s="91" t="e">
        <f ca="1">bdrateOld(D47:D50,E47:E50,L47:L50,M47:M50)</f>
        <v>#NAME?</v>
      </c>
      <c r="X47" s="91" t="e">
        <f ca="1">bdrateOld(D47:D50,F47:F50,L47:L50,N47:N50)</f>
        <v>#NAME?</v>
      </c>
      <c r="Y47" s="91" t="e">
        <f ca="1">bdrateOld(D47:D50,G47:G50,L47:L50,O47:O50)</f>
        <v>#NAME?</v>
      </c>
      <c r="Z47" s="19"/>
      <c r="AA47" s="43"/>
      <c r="AB47" s="43"/>
      <c r="AC47" s="43"/>
      <c r="AD47" s="83"/>
      <c r="AE47" s="111">
        <v>44.890099999999997</v>
      </c>
      <c r="AF47" s="112">
        <v>41.9039</v>
      </c>
      <c r="AG47" s="120">
        <v>44.814100000000003</v>
      </c>
      <c r="AI47" s="141"/>
      <c r="AJ47" s="141"/>
      <c r="AK47" s="141"/>
      <c r="AL47" s="141"/>
    </row>
    <row r="48" spans="1:38" s="21" customFormat="1" ht="15" customHeight="1" x14ac:dyDescent="0.2">
      <c r="A48" s="55"/>
      <c r="B48" s="36"/>
      <c r="C48" s="19">
        <v>27</v>
      </c>
      <c r="D48" s="24"/>
      <c r="E48" s="24"/>
      <c r="F48" s="24"/>
      <c r="G48" s="24"/>
      <c r="H48" s="101"/>
      <c r="I48" s="102"/>
      <c r="J48" s="85" t="e">
        <f t="shared" ca="1" si="0"/>
        <v>#NAME?</v>
      </c>
      <c r="K48" s="19"/>
      <c r="L48" s="133"/>
      <c r="M48" s="134"/>
      <c r="N48" s="134"/>
      <c r="O48" s="134"/>
      <c r="P48" s="112"/>
      <c r="Q48" s="120"/>
      <c r="R48" s="85" t="e">
        <f t="shared" ca="1" si="1"/>
        <v>#NAME?</v>
      </c>
      <c r="S48" s="83"/>
      <c r="T48" s="90"/>
      <c r="U48" s="91"/>
      <c r="V48" s="91"/>
      <c r="W48" s="91"/>
      <c r="X48" s="91"/>
      <c r="Y48" s="91"/>
      <c r="Z48" s="19"/>
      <c r="AA48" s="24"/>
      <c r="AB48" s="24"/>
      <c r="AC48" s="24"/>
      <c r="AD48" s="83"/>
      <c r="AE48" s="111">
        <v>42.283999999999999</v>
      </c>
      <c r="AF48" s="112">
        <v>39.704799999999999</v>
      </c>
      <c r="AG48" s="120">
        <v>42.302999999999997</v>
      </c>
      <c r="AI48" s="141"/>
      <c r="AJ48" s="141"/>
      <c r="AK48" s="141"/>
      <c r="AL48" s="141"/>
    </row>
    <row r="49" spans="1:38" s="21" customFormat="1" ht="15" customHeight="1" x14ac:dyDescent="0.2">
      <c r="A49" s="55"/>
      <c r="B49" s="36"/>
      <c r="C49" s="19">
        <v>32</v>
      </c>
      <c r="D49" s="24"/>
      <c r="E49" s="24"/>
      <c r="F49" s="24"/>
      <c r="G49" s="24"/>
      <c r="H49" s="101"/>
      <c r="I49" s="102"/>
      <c r="J49" s="85" t="e">
        <f t="shared" ca="1" si="0"/>
        <v>#NAME?</v>
      </c>
      <c r="K49" s="19"/>
      <c r="L49" s="133"/>
      <c r="M49" s="134"/>
      <c r="N49" s="134"/>
      <c r="O49" s="134"/>
      <c r="P49" s="112"/>
      <c r="Q49" s="120"/>
      <c r="R49" s="85" t="e">
        <f t="shared" ca="1" si="1"/>
        <v>#NAME?</v>
      </c>
      <c r="S49" s="83"/>
      <c r="T49" s="90"/>
      <c r="U49" s="91"/>
      <c r="V49" s="91"/>
      <c r="W49" s="91"/>
      <c r="X49" s="91"/>
      <c r="Y49" s="91"/>
      <c r="Z49" s="19"/>
      <c r="AA49" s="24"/>
      <c r="AB49" s="24"/>
      <c r="AC49" s="24"/>
      <c r="AD49" s="83"/>
      <c r="AE49" s="111">
        <v>39.324599999999997</v>
      </c>
      <c r="AF49" s="112">
        <v>37.206800000000001</v>
      </c>
      <c r="AG49" s="120">
        <v>39.332599999999999</v>
      </c>
      <c r="AI49" s="141"/>
      <c r="AJ49" s="141"/>
      <c r="AK49" s="141"/>
      <c r="AL49" s="141"/>
    </row>
    <row r="50" spans="1:38" s="21" customFormat="1" ht="15" customHeight="1" x14ac:dyDescent="0.2">
      <c r="A50" s="55"/>
      <c r="B50" s="36"/>
      <c r="C50" s="60">
        <v>37</v>
      </c>
      <c r="D50" s="25"/>
      <c r="E50" s="25"/>
      <c r="F50" s="25"/>
      <c r="G50" s="25"/>
      <c r="H50" s="103"/>
      <c r="I50" s="104"/>
      <c r="J50" s="86" t="e">
        <f t="shared" ca="1" si="0"/>
        <v>#NAME?</v>
      </c>
      <c r="K50" s="19"/>
      <c r="L50" s="135"/>
      <c r="M50" s="136"/>
      <c r="N50" s="136"/>
      <c r="O50" s="136"/>
      <c r="P50" s="114"/>
      <c r="Q50" s="121"/>
      <c r="R50" s="86" t="e">
        <f t="shared" ca="1" si="1"/>
        <v>#NAME?</v>
      </c>
      <c r="S50" s="83"/>
      <c r="T50" s="92"/>
      <c r="U50" s="93"/>
      <c r="V50" s="93"/>
      <c r="W50" s="93"/>
      <c r="X50" s="93"/>
      <c r="Y50" s="93"/>
      <c r="Z50" s="19"/>
      <c r="AA50" s="25"/>
      <c r="AB50" s="25"/>
      <c r="AC50" s="25"/>
      <c r="AD50" s="83"/>
      <c r="AE50" s="113">
        <v>36.153300000000002</v>
      </c>
      <c r="AF50" s="114">
        <v>34.504399999999997</v>
      </c>
      <c r="AG50" s="121">
        <v>36.045499999999997</v>
      </c>
      <c r="AI50" s="141"/>
      <c r="AJ50" s="141"/>
      <c r="AK50" s="141"/>
      <c r="AL50" s="141"/>
    </row>
    <row r="51" spans="1:38" s="21" customFormat="1" ht="15" customHeight="1" x14ac:dyDescent="0.2">
      <c r="A51" s="55"/>
      <c r="B51" s="37" t="s">
        <v>33</v>
      </c>
      <c r="C51" s="19">
        <v>22</v>
      </c>
      <c r="D51" s="24"/>
      <c r="E51" s="24"/>
      <c r="F51" s="24"/>
      <c r="G51" s="24"/>
      <c r="H51" s="101"/>
      <c r="I51" s="102"/>
      <c r="J51" s="85" t="e">
        <f t="shared" ca="1" si="0"/>
        <v>#NAME?</v>
      </c>
      <c r="K51" s="19"/>
      <c r="L51" s="133"/>
      <c r="M51" s="134"/>
      <c r="N51" s="134"/>
      <c r="O51" s="134"/>
      <c r="P51" s="112"/>
      <c r="Q51" s="120"/>
      <c r="R51" s="85" t="e">
        <f t="shared" ca="1" si="1"/>
        <v>#NAME?</v>
      </c>
      <c r="S51" s="83"/>
      <c r="T51" s="90" t="e">
        <f ca="1">bdrate(D51:D54,E51:E54,L51:L54,M51:M54)</f>
        <v>#NAME?</v>
      </c>
      <c r="U51" s="91" t="e">
        <f ca="1">bdrate(D51:D54,F51:F54,L51:L54,N51:N54)</f>
        <v>#NAME?</v>
      </c>
      <c r="V51" s="91" t="e">
        <f ca="1">bdrate(D51:D54,G51:G54,L51:L54,O51:O54)</f>
        <v>#NAME?</v>
      </c>
      <c r="W51" s="91" t="e">
        <f ca="1">bdrateOld(D51:D54,E51:E54,L51:L54,M51:M54)</f>
        <v>#NAME?</v>
      </c>
      <c r="X51" s="91" t="e">
        <f ca="1">bdrateOld(D51:D54,F51:F54,L51:L54,N51:N54)</f>
        <v>#NAME?</v>
      </c>
      <c r="Y51" s="91" t="e">
        <f ca="1">bdrateOld(D51:D54,G51:G54,L51:L54,O51:O54)</f>
        <v>#NAME?</v>
      </c>
      <c r="Z51" s="19"/>
      <c r="AA51" s="24"/>
      <c r="AB51" s="24"/>
      <c r="AC51" s="24"/>
      <c r="AD51" s="83"/>
      <c r="AE51" s="111">
        <v>41.410699999999999</v>
      </c>
      <c r="AF51" s="112">
        <v>40.048699999999997</v>
      </c>
      <c r="AG51" s="120">
        <v>40.202500000000001</v>
      </c>
      <c r="AI51" s="141"/>
      <c r="AJ51" s="141"/>
      <c r="AK51" s="141"/>
      <c r="AL51" s="141"/>
    </row>
    <row r="52" spans="1:38" s="21" customFormat="1" ht="15" customHeight="1" x14ac:dyDescent="0.2">
      <c r="A52" s="55"/>
      <c r="B52" s="36"/>
      <c r="C52" s="19">
        <v>27</v>
      </c>
      <c r="D52" s="24"/>
      <c r="E52" s="24"/>
      <c r="F52" s="24"/>
      <c r="G52" s="24"/>
      <c r="H52" s="101"/>
      <c r="I52" s="102"/>
      <c r="J52" s="85" t="e">
        <f t="shared" ca="1" si="0"/>
        <v>#NAME?</v>
      </c>
      <c r="K52" s="19"/>
      <c r="L52" s="133"/>
      <c r="M52" s="134"/>
      <c r="N52" s="134"/>
      <c r="O52" s="134"/>
      <c r="P52" s="112"/>
      <c r="Q52" s="120"/>
      <c r="R52" s="85" t="e">
        <f t="shared" ca="1" si="1"/>
        <v>#NAME?</v>
      </c>
      <c r="S52" s="83"/>
      <c r="T52" s="90"/>
      <c r="U52" s="91"/>
      <c r="V52" s="91"/>
      <c r="W52" s="91"/>
      <c r="X52" s="91"/>
      <c r="Y52" s="91"/>
      <c r="Z52" s="19"/>
      <c r="AA52" s="24"/>
      <c r="AB52" s="24"/>
      <c r="AC52" s="24"/>
      <c r="AD52" s="83"/>
      <c r="AE52" s="111">
        <v>40.284399999999998</v>
      </c>
      <c r="AF52" s="112">
        <v>34.849600000000002</v>
      </c>
      <c r="AG52" s="120">
        <v>38.723599999999998</v>
      </c>
      <c r="AI52" s="141"/>
      <c r="AJ52" s="141"/>
      <c r="AK52" s="141"/>
      <c r="AL52" s="141"/>
    </row>
    <row r="53" spans="1:38" s="21" customFormat="1" ht="15" customHeight="1" x14ac:dyDescent="0.2">
      <c r="A53" s="55"/>
      <c r="B53" s="36"/>
      <c r="C53" s="19">
        <v>32</v>
      </c>
      <c r="D53" s="24"/>
      <c r="E53" s="24"/>
      <c r="F53" s="24"/>
      <c r="G53" s="24"/>
      <c r="H53" s="101"/>
      <c r="I53" s="102"/>
      <c r="J53" s="85" t="e">
        <f t="shared" ca="1" si="0"/>
        <v>#NAME?</v>
      </c>
      <c r="K53" s="19"/>
      <c r="L53" s="133"/>
      <c r="M53" s="134"/>
      <c r="N53" s="134"/>
      <c r="O53" s="134"/>
      <c r="P53" s="112"/>
      <c r="Q53" s="120"/>
      <c r="R53" s="85" t="e">
        <f t="shared" ca="1" si="1"/>
        <v>#NAME?</v>
      </c>
      <c r="S53" s="83"/>
      <c r="T53" s="90"/>
      <c r="U53" s="91"/>
      <c r="V53" s="91"/>
      <c r="W53" s="91"/>
      <c r="X53" s="91"/>
      <c r="Y53" s="91"/>
      <c r="Z53" s="19"/>
      <c r="AA53" s="24"/>
      <c r="AB53" s="24"/>
      <c r="AC53" s="24"/>
      <c r="AD53" s="83"/>
      <c r="AE53" s="111">
        <v>39.235100000000003</v>
      </c>
      <c r="AF53" s="112">
        <v>32.54</v>
      </c>
      <c r="AG53" s="120">
        <v>37.290900000000001</v>
      </c>
      <c r="AI53" s="141"/>
      <c r="AJ53" s="141"/>
      <c r="AK53" s="141"/>
      <c r="AL53" s="141"/>
    </row>
    <row r="54" spans="1:38" s="21" customFormat="1" ht="15" customHeight="1" thickBot="1" x14ac:dyDescent="0.25">
      <c r="A54" s="55"/>
      <c r="B54" s="42"/>
      <c r="C54" s="20">
        <v>37</v>
      </c>
      <c r="D54" s="33"/>
      <c r="E54" s="33"/>
      <c r="F54" s="33"/>
      <c r="G54" s="33"/>
      <c r="H54" s="107"/>
      <c r="I54" s="108"/>
      <c r="J54" s="87" t="e">
        <f t="shared" ca="1" si="0"/>
        <v>#NAME?</v>
      </c>
      <c r="K54" s="19"/>
      <c r="L54" s="139"/>
      <c r="M54" s="140"/>
      <c r="N54" s="140"/>
      <c r="O54" s="140"/>
      <c r="P54" s="118"/>
      <c r="Q54" s="124"/>
      <c r="R54" s="87" t="e">
        <f t="shared" ca="1" si="1"/>
        <v>#NAME?</v>
      </c>
      <c r="S54" s="83"/>
      <c r="T54" s="96"/>
      <c r="U54" s="97"/>
      <c r="V54" s="97"/>
      <c r="W54" s="97"/>
      <c r="X54" s="97"/>
      <c r="Y54" s="97"/>
      <c r="Z54" s="19"/>
      <c r="AA54" s="33"/>
      <c r="AB54" s="33"/>
      <c r="AC54" s="33"/>
      <c r="AD54" s="83"/>
      <c r="AE54" s="117">
        <v>37.488500000000002</v>
      </c>
      <c r="AF54" s="118">
        <v>31.872299999999999</v>
      </c>
      <c r="AG54" s="124">
        <v>35.5715</v>
      </c>
      <c r="AI54" s="141"/>
      <c r="AJ54" s="141"/>
      <c r="AK54" s="141"/>
      <c r="AL54" s="141"/>
    </row>
    <row r="55" spans="1:38" ht="15" customHeight="1" x14ac:dyDescent="0.25">
      <c r="A55" s="54" t="s">
        <v>26</v>
      </c>
      <c r="B55" s="34" t="s">
        <v>49</v>
      </c>
      <c r="C55" s="18">
        <v>22</v>
      </c>
      <c r="D55" s="43"/>
      <c r="E55" s="43"/>
      <c r="F55" s="43"/>
      <c r="G55" s="43"/>
      <c r="H55" s="99"/>
      <c r="I55" s="100"/>
      <c r="J55" s="85" t="e">
        <f t="shared" ca="1" si="0"/>
        <v>#NAME?</v>
      </c>
      <c r="K55" s="19"/>
      <c r="L55" s="133"/>
      <c r="M55" s="134"/>
      <c r="N55" s="134"/>
      <c r="O55" s="134"/>
      <c r="P55" s="112"/>
      <c r="Q55" s="120"/>
      <c r="R55" s="85" t="e">
        <f t="shared" ca="1" si="1"/>
        <v>#NAME?</v>
      </c>
      <c r="S55" s="83"/>
      <c r="T55" s="90" t="e">
        <f ca="1">bdrate(D55:D58,E55:E58,L55:L58,M55:M58)</f>
        <v>#NAME?</v>
      </c>
      <c r="U55" s="91" t="e">
        <f ca="1">bdrate(D55:D58,F55:F58,L55:L58,N55:N58)</f>
        <v>#NAME?</v>
      </c>
      <c r="V55" s="91" t="e">
        <f ca="1">bdrate(D55:D58,G55:G58,L55:L58,O55:O58)</f>
        <v>#NAME?</v>
      </c>
      <c r="W55" s="91" t="e">
        <f ca="1">bdrateOld(D55:D58,E55:E58,L55:L58,M55:M58)</f>
        <v>#NAME?</v>
      </c>
      <c r="X55" s="91" t="e">
        <f ca="1">bdrateOld(D55:D58,F55:F58,L55:L58,N55:N58)</f>
        <v>#NAME?</v>
      </c>
      <c r="Y55" s="91" t="e">
        <f ca="1">bdrateOld(D55:D58,G55:G58,L55:L58,O55:O58)</f>
        <v>#NAME?</v>
      </c>
      <c r="Z55" s="19"/>
      <c r="AA55" s="43"/>
      <c r="AB55" s="43"/>
      <c r="AC55" s="43"/>
      <c r="AD55" s="83"/>
      <c r="AE55" s="111">
        <v>49.478499999999997</v>
      </c>
      <c r="AF55" s="112">
        <v>50.594999999999999</v>
      </c>
      <c r="AG55" s="120">
        <v>50.870699999999999</v>
      </c>
      <c r="AI55" s="141"/>
      <c r="AJ55" s="141"/>
      <c r="AK55" s="141"/>
      <c r="AL55" s="141"/>
    </row>
    <row r="56" spans="1:38" ht="15" customHeight="1" x14ac:dyDescent="0.2">
      <c r="B56" s="36"/>
      <c r="C56" s="19">
        <v>27</v>
      </c>
      <c r="D56" s="24"/>
      <c r="E56" s="24"/>
      <c r="F56" s="24"/>
      <c r="G56" s="24"/>
      <c r="H56" s="101"/>
      <c r="I56" s="102"/>
      <c r="J56" s="85" t="e">
        <f t="shared" ca="1" si="0"/>
        <v>#NAME?</v>
      </c>
      <c r="K56" s="19"/>
      <c r="L56" s="133"/>
      <c r="M56" s="134"/>
      <c r="N56" s="134"/>
      <c r="O56" s="134"/>
      <c r="P56" s="112"/>
      <c r="Q56" s="120"/>
      <c r="R56" s="85" t="e">
        <f t="shared" ca="1" si="1"/>
        <v>#NAME?</v>
      </c>
      <c r="S56" s="83"/>
      <c r="T56" s="90"/>
      <c r="U56" s="91"/>
      <c r="V56" s="91"/>
      <c r="W56" s="91"/>
      <c r="X56" s="91"/>
      <c r="Y56" s="91"/>
      <c r="Z56" s="19"/>
      <c r="AA56" s="24"/>
      <c r="AB56" s="24"/>
      <c r="AC56" s="24"/>
      <c r="AD56" s="83"/>
      <c r="AE56" s="111">
        <v>44.736199999999997</v>
      </c>
      <c r="AF56" s="112">
        <v>46.290199999999999</v>
      </c>
      <c r="AG56" s="120">
        <v>46.503</v>
      </c>
      <c r="AI56" s="141"/>
      <c r="AJ56" s="141"/>
      <c r="AK56" s="141"/>
      <c r="AL56" s="141"/>
    </row>
    <row r="57" spans="1:38" s="17" customFormat="1" ht="15" customHeight="1" x14ac:dyDescent="0.2">
      <c r="A57" s="55"/>
      <c r="B57" s="48"/>
      <c r="C57" s="19">
        <v>32</v>
      </c>
      <c r="D57" s="24"/>
      <c r="E57" s="24"/>
      <c r="F57" s="24"/>
      <c r="G57" s="24"/>
      <c r="H57" s="101"/>
      <c r="I57" s="102"/>
      <c r="J57" s="85" t="e">
        <f t="shared" ca="1" si="0"/>
        <v>#NAME?</v>
      </c>
      <c r="K57" s="19"/>
      <c r="L57" s="133"/>
      <c r="M57" s="134"/>
      <c r="N57" s="134"/>
      <c r="O57" s="134"/>
      <c r="P57" s="112"/>
      <c r="Q57" s="120"/>
      <c r="R57" s="85" t="e">
        <f t="shared" ca="1" si="1"/>
        <v>#NAME?</v>
      </c>
      <c r="S57" s="83"/>
      <c r="T57" s="90"/>
      <c r="U57" s="91"/>
      <c r="V57" s="91"/>
      <c r="W57" s="91"/>
      <c r="X57" s="91"/>
      <c r="Y57" s="91"/>
      <c r="Z57" s="19"/>
      <c r="AA57" s="24"/>
      <c r="AB57" s="24"/>
      <c r="AC57" s="24"/>
      <c r="AD57" s="83"/>
      <c r="AE57" s="111">
        <v>40.073700000000002</v>
      </c>
      <c r="AF57" s="112">
        <v>42.406300000000002</v>
      </c>
      <c r="AG57" s="120">
        <v>42.582700000000003</v>
      </c>
      <c r="AI57" s="141"/>
      <c r="AJ57" s="141"/>
      <c r="AK57" s="141"/>
      <c r="AL57" s="141"/>
    </row>
    <row r="58" spans="1:38" s="17" customFormat="1" ht="15" customHeight="1" x14ac:dyDescent="0.2">
      <c r="A58" s="55"/>
      <c r="B58" s="49"/>
      <c r="C58" s="19">
        <v>37</v>
      </c>
      <c r="D58" s="24"/>
      <c r="E58" s="24"/>
      <c r="F58" s="24"/>
      <c r="G58" s="24"/>
      <c r="H58" s="101"/>
      <c r="I58" s="102"/>
      <c r="J58" s="86" t="e">
        <f t="shared" ca="1" si="0"/>
        <v>#NAME?</v>
      </c>
      <c r="K58" s="19"/>
      <c r="L58" s="133"/>
      <c r="M58" s="134"/>
      <c r="N58" s="134"/>
      <c r="O58" s="134"/>
      <c r="P58" s="112"/>
      <c r="Q58" s="120"/>
      <c r="R58" s="86" t="e">
        <f t="shared" ca="1" si="1"/>
        <v>#NAME?</v>
      </c>
      <c r="S58" s="83"/>
      <c r="T58" s="90"/>
      <c r="U58" s="91"/>
      <c r="V58" s="91"/>
      <c r="W58" s="91"/>
      <c r="X58" s="91"/>
      <c r="Y58" s="91"/>
      <c r="Z58" s="19"/>
      <c r="AA58" s="24"/>
      <c r="AB58" s="24"/>
      <c r="AC58" s="24"/>
      <c r="AD58" s="83"/>
      <c r="AE58" s="111">
        <v>35.433500000000002</v>
      </c>
      <c r="AF58" s="112">
        <v>38.476100000000002</v>
      </c>
      <c r="AG58" s="120">
        <v>38.7209</v>
      </c>
      <c r="AI58" s="141"/>
      <c r="AJ58" s="141"/>
      <c r="AK58" s="141"/>
      <c r="AL58" s="141"/>
    </row>
    <row r="59" spans="1:38" s="17" customFormat="1" ht="15" customHeight="1" x14ac:dyDescent="0.2">
      <c r="A59" s="55"/>
      <c r="B59" s="50" t="s">
        <v>50</v>
      </c>
      <c r="C59" s="61">
        <v>22</v>
      </c>
      <c r="D59" s="31"/>
      <c r="E59" s="31"/>
      <c r="F59" s="31"/>
      <c r="G59" s="31"/>
      <c r="H59" s="105"/>
      <c r="I59" s="106"/>
      <c r="J59" s="85" t="e">
        <f t="shared" ca="1" si="0"/>
        <v>#NAME?</v>
      </c>
      <c r="K59" s="19"/>
      <c r="L59" s="137"/>
      <c r="M59" s="138"/>
      <c r="N59" s="138"/>
      <c r="O59" s="138"/>
      <c r="P59" s="116"/>
      <c r="Q59" s="122"/>
      <c r="R59" s="85" t="e">
        <f t="shared" ca="1" si="1"/>
        <v>#NAME?</v>
      </c>
      <c r="S59" s="83"/>
      <c r="T59" s="94" t="e">
        <f ca="1">bdrate(D59:D62,E59:E62,L59:L62,M59:M62)</f>
        <v>#NAME?</v>
      </c>
      <c r="U59" s="95" t="e">
        <f ca="1">bdrate(D59:D62,F59:F62,L59:L62,N59:N62)</f>
        <v>#NAME?</v>
      </c>
      <c r="V59" s="95" t="e">
        <f ca="1">bdrate(D59:D62,G59:G62,L59:L62,O59:O62)</f>
        <v>#NAME?</v>
      </c>
      <c r="W59" s="95" t="e">
        <f ca="1">bdrateOld(D59:D62,E59:E62,L59:L62,M59:M62)</f>
        <v>#NAME?</v>
      </c>
      <c r="X59" s="95" t="e">
        <f ca="1">bdrateOld(D59:D62,F59:F62,L59:L62,N59:N62)</f>
        <v>#NAME?</v>
      </c>
      <c r="Y59" s="95" t="e">
        <f ca="1">bdrateOld(D59:D62,G59:G62,L59:L62,O59:O62)</f>
        <v>#NAME?</v>
      </c>
      <c r="Z59" s="19"/>
      <c r="AA59" s="31"/>
      <c r="AB59" s="31"/>
      <c r="AC59" s="31"/>
      <c r="AD59" s="83"/>
      <c r="AE59" s="115">
        <v>53.692500000000003</v>
      </c>
      <c r="AF59" s="116">
        <v>54.3934</v>
      </c>
      <c r="AG59" s="125">
        <v>54.9557</v>
      </c>
      <c r="AI59" s="141"/>
      <c r="AJ59" s="141"/>
      <c r="AK59" s="141"/>
      <c r="AL59" s="141"/>
    </row>
    <row r="60" spans="1:38" s="17" customFormat="1" ht="15" customHeight="1" x14ac:dyDescent="0.2">
      <c r="A60" s="55"/>
      <c r="B60" s="36"/>
      <c r="C60" s="19">
        <v>27</v>
      </c>
      <c r="D60" s="24"/>
      <c r="E60" s="24"/>
      <c r="F60" s="24"/>
      <c r="G60" s="24"/>
      <c r="H60" s="101"/>
      <c r="I60" s="102"/>
      <c r="J60" s="85" t="e">
        <f t="shared" ca="1" si="0"/>
        <v>#NAME?</v>
      </c>
      <c r="K60" s="19"/>
      <c r="L60" s="133"/>
      <c r="M60" s="134"/>
      <c r="N60" s="134"/>
      <c r="O60" s="134"/>
      <c r="P60" s="112"/>
      <c r="Q60" s="123"/>
      <c r="R60" s="85" t="e">
        <f t="shared" ca="1" si="1"/>
        <v>#NAME?</v>
      </c>
      <c r="S60" s="83"/>
      <c r="T60" s="90"/>
      <c r="U60" s="91"/>
      <c r="V60" s="91"/>
      <c r="W60" s="91"/>
      <c r="X60" s="91"/>
      <c r="Y60" s="91"/>
      <c r="Z60" s="19"/>
      <c r="AA60" s="24"/>
      <c r="AB60" s="24"/>
      <c r="AC60" s="24"/>
      <c r="AD60" s="83"/>
      <c r="AE60" s="111">
        <v>48.707500000000003</v>
      </c>
      <c r="AF60" s="112">
        <v>49.058100000000003</v>
      </c>
      <c r="AG60" s="120">
        <v>49.964399999999998</v>
      </c>
      <c r="AI60" s="141"/>
      <c r="AJ60" s="141"/>
      <c r="AK60" s="141"/>
      <c r="AL60" s="141"/>
    </row>
    <row r="61" spans="1:38" s="17" customFormat="1" ht="15" customHeight="1" x14ac:dyDescent="0.2">
      <c r="A61" s="55"/>
      <c r="B61" s="36"/>
      <c r="C61" s="19">
        <v>32</v>
      </c>
      <c r="D61" s="24"/>
      <c r="E61" s="24"/>
      <c r="F61" s="24"/>
      <c r="G61" s="24"/>
      <c r="H61" s="101"/>
      <c r="I61" s="102"/>
      <c r="J61" s="85" t="e">
        <f t="shared" ca="1" si="0"/>
        <v>#NAME?</v>
      </c>
      <c r="K61" s="19"/>
      <c r="L61" s="133"/>
      <c r="M61" s="134"/>
      <c r="N61" s="134"/>
      <c r="O61" s="134"/>
      <c r="P61" s="112"/>
      <c r="Q61" s="120"/>
      <c r="R61" s="85" t="e">
        <f t="shared" ca="1" si="1"/>
        <v>#NAME?</v>
      </c>
      <c r="S61" s="83"/>
      <c r="T61" s="90"/>
      <c r="U61" s="91"/>
      <c r="V61" s="91"/>
      <c r="W61" s="91"/>
      <c r="X61" s="91"/>
      <c r="Y61" s="91"/>
      <c r="Z61" s="19"/>
      <c r="AA61" s="24"/>
      <c r="AB61" s="24"/>
      <c r="AC61" s="24"/>
      <c r="AD61" s="83"/>
      <c r="AE61" s="111">
        <v>43.598300000000002</v>
      </c>
      <c r="AF61" s="112">
        <v>43.921700000000001</v>
      </c>
      <c r="AG61" s="120">
        <v>44.699199999999998</v>
      </c>
      <c r="AI61" s="141"/>
      <c r="AJ61" s="141"/>
      <c r="AK61" s="141"/>
      <c r="AL61" s="141"/>
    </row>
    <row r="62" spans="1:38" ht="15" customHeight="1" x14ac:dyDescent="0.2">
      <c r="B62" s="41"/>
      <c r="C62" s="60">
        <v>37</v>
      </c>
      <c r="D62" s="25"/>
      <c r="E62" s="25"/>
      <c r="F62" s="25"/>
      <c r="G62" s="25"/>
      <c r="H62" s="103"/>
      <c r="I62" s="104"/>
      <c r="J62" s="86" t="e">
        <f t="shared" ca="1" si="0"/>
        <v>#NAME?</v>
      </c>
      <c r="K62" s="19"/>
      <c r="L62" s="135"/>
      <c r="M62" s="136"/>
      <c r="N62" s="136"/>
      <c r="O62" s="136"/>
      <c r="P62" s="114"/>
      <c r="Q62" s="121"/>
      <c r="R62" s="86" t="e">
        <f t="shared" ca="1" si="1"/>
        <v>#NAME?</v>
      </c>
      <c r="S62" s="83"/>
      <c r="T62" s="92"/>
      <c r="U62" s="93"/>
      <c r="V62" s="93"/>
      <c r="W62" s="93"/>
      <c r="X62" s="93"/>
      <c r="Y62" s="93"/>
      <c r="Z62" s="19"/>
      <c r="AA62" s="25"/>
      <c r="AB62" s="25"/>
      <c r="AC62" s="25"/>
      <c r="AD62" s="83"/>
      <c r="AE62" s="113">
        <v>37.975200000000001</v>
      </c>
      <c r="AF62" s="114">
        <v>39.4604</v>
      </c>
      <c r="AG62" s="121">
        <v>39.787300000000002</v>
      </c>
      <c r="AI62" s="141"/>
      <c r="AJ62" s="141"/>
      <c r="AK62" s="141"/>
      <c r="AL62" s="141"/>
    </row>
    <row r="63" spans="1:38" ht="15" customHeight="1" x14ac:dyDescent="0.2">
      <c r="B63" s="39" t="s">
        <v>51</v>
      </c>
      <c r="C63" s="19">
        <v>22</v>
      </c>
      <c r="D63" s="24"/>
      <c r="E63" s="24"/>
      <c r="F63" s="24"/>
      <c r="G63" s="24"/>
      <c r="H63" s="101"/>
      <c r="I63" s="102"/>
      <c r="J63" s="85" t="e">
        <f t="shared" ca="1" si="0"/>
        <v>#NAME?</v>
      </c>
      <c r="K63" s="19"/>
      <c r="L63" s="133"/>
      <c r="M63" s="134"/>
      <c r="N63" s="134"/>
      <c r="O63" s="134"/>
      <c r="P63" s="112"/>
      <c r="Q63" s="120"/>
      <c r="R63" s="85" t="e">
        <f t="shared" ca="1" si="1"/>
        <v>#NAME?</v>
      </c>
      <c r="S63" s="83"/>
      <c r="T63" s="90" t="e">
        <f ca="1">bdrate(D63:D66,E63:E66,L63:L66,M63:M66)</f>
        <v>#NAME?</v>
      </c>
      <c r="U63" s="91" t="e">
        <f ca="1">bdrate(D63:D66,F63:F66,L63:L66,N63:N66)</f>
        <v>#NAME?</v>
      </c>
      <c r="V63" s="91" t="e">
        <f ca="1">bdrate(D63:D66,G63:G66,L63:L66,O63:O66)</f>
        <v>#NAME?</v>
      </c>
      <c r="W63" s="91" t="e">
        <f ca="1">bdrateOld(D63:D66,E63:E66,L63:L66,M63:M66)</f>
        <v>#NAME?</v>
      </c>
      <c r="X63" s="91" t="e">
        <f ca="1">bdrateOld(D63:D66,F63:F66,L63:L66,N63:N66)</f>
        <v>#NAME?</v>
      </c>
      <c r="Y63" s="91" t="e">
        <f ca="1">bdrateOld(D63:D66,G63:G66,L63:L66,O63:O66)</f>
        <v>#NAME?</v>
      </c>
      <c r="Z63" s="19"/>
      <c r="AA63" s="24"/>
      <c r="AB63" s="24"/>
      <c r="AC63" s="24"/>
      <c r="AD63" s="83"/>
      <c r="AE63" s="111">
        <v>56.124099999999999</v>
      </c>
      <c r="AF63" s="112">
        <v>57.680399999999999</v>
      </c>
      <c r="AG63" s="120">
        <v>56.768900000000002</v>
      </c>
      <c r="AI63" s="141"/>
      <c r="AJ63" s="141"/>
      <c r="AK63" s="141"/>
      <c r="AL63" s="141"/>
    </row>
    <row r="64" spans="1:38" ht="15" customHeight="1" x14ac:dyDescent="0.2">
      <c r="B64" s="40"/>
      <c r="C64" s="19">
        <v>27</v>
      </c>
      <c r="D64" s="24"/>
      <c r="E64" s="24"/>
      <c r="F64" s="24"/>
      <c r="G64" s="24"/>
      <c r="H64" s="101"/>
      <c r="I64" s="102"/>
      <c r="J64" s="85" t="e">
        <f t="shared" ca="1" si="0"/>
        <v>#NAME?</v>
      </c>
      <c r="K64" s="19"/>
      <c r="L64" s="133"/>
      <c r="M64" s="134"/>
      <c r="N64" s="134"/>
      <c r="O64" s="134"/>
      <c r="P64" s="112"/>
      <c r="Q64" s="120"/>
      <c r="R64" s="85" t="e">
        <f t="shared" ca="1" si="1"/>
        <v>#NAME?</v>
      </c>
      <c r="S64" s="83"/>
      <c r="T64" s="90"/>
      <c r="U64" s="91"/>
      <c r="V64" s="91"/>
      <c r="W64" s="91"/>
      <c r="X64" s="91"/>
      <c r="Y64" s="91"/>
      <c r="Z64" s="19"/>
      <c r="AA64" s="24"/>
      <c r="AB64" s="24"/>
      <c r="AC64" s="24"/>
      <c r="AD64" s="83"/>
      <c r="AE64" s="111">
        <v>51.308900000000001</v>
      </c>
      <c r="AF64" s="112">
        <v>53.16</v>
      </c>
      <c r="AG64" s="120">
        <v>52.187899999999999</v>
      </c>
      <c r="AI64" s="141"/>
      <c r="AJ64" s="141"/>
      <c r="AK64" s="141"/>
      <c r="AL64" s="141"/>
    </row>
    <row r="65" spans="1:39" ht="15" customHeight="1" x14ac:dyDescent="0.2">
      <c r="B65" s="40"/>
      <c r="C65" s="19">
        <v>32</v>
      </c>
      <c r="D65" s="24"/>
      <c r="E65" s="24"/>
      <c r="F65" s="24"/>
      <c r="G65" s="24"/>
      <c r="H65" s="101"/>
      <c r="I65" s="102"/>
      <c r="J65" s="85" t="e">
        <f t="shared" ca="1" si="0"/>
        <v>#NAME?</v>
      </c>
      <c r="K65" s="19"/>
      <c r="L65" s="133"/>
      <c r="M65" s="134"/>
      <c r="N65" s="134"/>
      <c r="O65" s="134"/>
      <c r="P65" s="112"/>
      <c r="Q65" s="120"/>
      <c r="R65" s="85" t="e">
        <f t="shared" ca="1" si="1"/>
        <v>#NAME?</v>
      </c>
      <c r="S65" s="83"/>
      <c r="T65" s="90"/>
      <c r="U65" s="91"/>
      <c r="V65" s="91"/>
      <c r="W65" s="91"/>
      <c r="X65" s="91"/>
      <c r="Y65" s="91"/>
      <c r="Z65" s="19"/>
      <c r="AA65" s="24"/>
      <c r="AB65" s="24"/>
      <c r="AC65" s="24"/>
      <c r="AD65" s="83"/>
      <c r="AE65" s="111">
        <v>46.381399999999999</v>
      </c>
      <c r="AF65" s="112">
        <v>49.224200000000003</v>
      </c>
      <c r="AG65" s="120">
        <v>47.573599999999999</v>
      </c>
      <c r="AI65" s="141"/>
      <c r="AJ65" s="141"/>
      <c r="AK65" s="141"/>
      <c r="AL65" s="141"/>
    </row>
    <row r="66" spans="1:39" ht="15" customHeight="1" thickBot="1" x14ac:dyDescent="0.3">
      <c r="B66" s="79"/>
      <c r="C66" s="20">
        <v>37</v>
      </c>
      <c r="D66" s="33"/>
      <c r="E66" s="33"/>
      <c r="F66" s="33"/>
      <c r="G66" s="33"/>
      <c r="H66" s="107"/>
      <c r="I66" s="108"/>
      <c r="J66" s="87" t="e">
        <f t="shared" ca="1" si="0"/>
        <v>#NAME?</v>
      </c>
      <c r="K66" s="19"/>
      <c r="L66" s="139"/>
      <c r="M66" s="140"/>
      <c r="N66" s="140"/>
      <c r="O66" s="140"/>
      <c r="P66" s="118"/>
      <c r="Q66" s="124"/>
      <c r="R66" s="87" t="e">
        <f t="shared" ca="1" si="1"/>
        <v>#NAME?</v>
      </c>
      <c r="S66" s="83"/>
      <c r="T66" s="96"/>
      <c r="U66" s="97"/>
      <c r="V66" s="97"/>
      <c r="W66" s="97"/>
      <c r="X66" s="97"/>
      <c r="Y66" s="97"/>
      <c r="Z66" s="19"/>
      <c r="AA66" s="33"/>
      <c r="AB66" s="33"/>
      <c r="AC66" s="33"/>
      <c r="AD66" s="83"/>
      <c r="AE66" s="117">
        <v>40.084099999999999</v>
      </c>
      <c r="AF66" s="118">
        <v>44.561500000000002</v>
      </c>
      <c r="AG66" s="124">
        <v>42.917200000000001</v>
      </c>
      <c r="AI66" s="141"/>
      <c r="AJ66" s="141"/>
      <c r="AK66" s="141"/>
      <c r="AL66" s="141"/>
      <c r="AM66"/>
    </row>
    <row r="67" spans="1:39" ht="15" customHeight="1" x14ac:dyDescent="0.25">
      <c r="A67" s="54" t="s">
        <v>27</v>
      </c>
      <c r="B67" s="80" t="s">
        <v>52</v>
      </c>
      <c r="C67" s="18">
        <v>22</v>
      </c>
      <c r="D67" s="43"/>
      <c r="E67" s="43"/>
      <c r="F67" s="43"/>
      <c r="G67" s="43"/>
      <c r="H67" s="99"/>
      <c r="I67" s="100"/>
      <c r="J67" s="85" t="e">
        <f t="shared" ca="1" si="0"/>
        <v>#NAME?</v>
      </c>
      <c r="K67" s="19"/>
      <c r="L67" s="133"/>
      <c r="M67" s="134"/>
      <c r="N67" s="134"/>
      <c r="O67" s="134"/>
      <c r="P67" s="112"/>
      <c r="Q67" s="120"/>
      <c r="R67" s="85" t="e">
        <f t="shared" ca="1" si="1"/>
        <v>#NAME?</v>
      </c>
      <c r="S67" s="83"/>
      <c r="T67" s="90" t="e">
        <f ca="1">bdrate(D67:D70,E67:E70,L67:L70,M67:M70)</f>
        <v>#NAME?</v>
      </c>
      <c r="U67" s="91" t="e">
        <f ca="1">bdrate(D67:D70,F67:F70,L67:L70,N67:N70)</f>
        <v>#NAME?</v>
      </c>
      <c r="V67" s="91" t="e">
        <f ca="1">bdrate(D67:D70,G67:G70,L67:L70,O67:O70)</f>
        <v>#NAME?</v>
      </c>
      <c r="W67" s="91" t="e">
        <f ca="1">bdrateOld(D67:D70,E67:E70,L67:L70,M67:M70)</f>
        <v>#NAME?</v>
      </c>
      <c r="X67" s="91" t="e">
        <f ca="1">bdrateOld(D67:D70,F67:F70,L67:L70,N67:N70)</f>
        <v>#NAME?</v>
      </c>
      <c r="Y67" s="91" t="e">
        <f ca="1">bdrateOld(D67:D70,G67:G70,L67:L70,O67:O70)</f>
        <v>#NAME?</v>
      </c>
      <c r="Z67" s="19"/>
      <c r="AA67" s="43"/>
      <c r="AB67" s="43"/>
      <c r="AC67" s="43"/>
      <c r="AD67" s="83"/>
      <c r="AE67" s="111">
        <v>53.084299999999999</v>
      </c>
      <c r="AF67" s="112">
        <v>54.941699999999997</v>
      </c>
      <c r="AG67" s="120">
        <v>55.220599999999997</v>
      </c>
      <c r="AI67" s="141"/>
      <c r="AJ67" s="141"/>
      <c r="AK67" s="141"/>
      <c r="AL67" s="141"/>
    </row>
    <row r="68" spans="1:39" ht="15" customHeight="1" x14ac:dyDescent="0.2">
      <c r="B68" s="40"/>
      <c r="C68" s="19">
        <v>27</v>
      </c>
      <c r="D68" s="24"/>
      <c r="E68" s="24"/>
      <c r="F68" s="24"/>
      <c r="G68" s="24"/>
      <c r="H68" s="101"/>
      <c r="I68" s="102"/>
      <c r="J68" s="85" t="e">
        <f t="shared" ca="1" si="0"/>
        <v>#NAME?</v>
      </c>
      <c r="K68" s="19"/>
      <c r="L68" s="133"/>
      <c r="M68" s="134"/>
      <c r="N68" s="134"/>
      <c r="O68" s="134"/>
      <c r="P68" s="112"/>
      <c r="Q68" s="120"/>
      <c r="R68" s="85" t="e">
        <f t="shared" ca="1" si="1"/>
        <v>#NAME?</v>
      </c>
      <c r="S68" s="83"/>
      <c r="T68" s="90"/>
      <c r="U68" s="91"/>
      <c r="V68" s="91"/>
      <c r="W68" s="91"/>
      <c r="X68" s="91"/>
      <c r="Y68" s="91"/>
      <c r="Z68" s="19"/>
      <c r="AA68" s="24"/>
      <c r="AB68" s="24"/>
      <c r="AC68" s="24"/>
      <c r="AD68" s="83"/>
      <c r="AE68" s="111">
        <v>48.579599999999999</v>
      </c>
      <c r="AF68" s="112">
        <v>49.914000000000001</v>
      </c>
      <c r="AG68" s="120">
        <v>50.196800000000003</v>
      </c>
      <c r="AI68" s="141"/>
      <c r="AJ68" s="141"/>
      <c r="AK68" s="141"/>
      <c r="AL68" s="141"/>
    </row>
    <row r="69" spans="1:39" ht="15" customHeight="1" x14ac:dyDescent="0.2">
      <c r="B69" s="40"/>
      <c r="C69" s="19">
        <v>32</v>
      </c>
      <c r="D69" s="24"/>
      <c r="E69" s="24"/>
      <c r="F69" s="24"/>
      <c r="G69" s="24"/>
      <c r="H69" s="101"/>
      <c r="I69" s="102"/>
      <c r="J69" s="85" t="e">
        <f t="shared" ref="J69:J106" ca="1" si="2">secToHours(H69)</f>
        <v>#NAME?</v>
      </c>
      <c r="K69" s="19"/>
      <c r="L69" s="133"/>
      <c r="M69" s="134"/>
      <c r="N69" s="134"/>
      <c r="O69" s="134"/>
      <c r="P69" s="112"/>
      <c r="Q69" s="120"/>
      <c r="R69" s="85" t="e">
        <f t="shared" ref="R69:R106" ca="1" si="3">secToHours(P69)</f>
        <v>#NAME?</v>
      </c>
      <c r="S69" s="83"/>
      <c r="T69" s="90"/>
      <c r="U69" s="91"/>
      <c r="V69" s="91"/>
      <c r="W69" s="91"/>
      <c r="X69" s="91"/>
      <c r="Y69" s="91"/>
      <c r="Z69" s="19"/>
      <c r="AA69" s="24"/>
      <c r="AB69" s="24"/>
      <c r="AC69" s="24"/>
      <c r="AD69" s="83"/>
      <c r="AE69" s="111">
        <v>43.205800000000004</v>
      </c>
      <c r="AF69" s="112">
        <v>44.725900000000003</v>
      </c>
      <c r="AG69" s="120">
        <v>45.024700000000003</v>
      </c>
      <c r="AI69" s="141"/>
      <c r="AJ69" s="141"/>
      <c r="AK69" s="141"/>
      <c r="AL69" s="141"/>
    </row>
    <row r="70" spans="1:39" ht="15" customHeight="1" x14ac:dyDescent="0.2">
      <c r="B70" s="41"/>
      <c r="C70" s="19">
        <v>37</v>
      </c>
      <c r="D70" s="24"/>
      <c r="E70" s="24"/>
      <c r="F70" s="24"/>
      <c r="G70" s="24"/>
      <c r="H70" s="101"/>
      <c r="I70" s="102"/>
      <c r="J70" s="86" t="e">
        <f t="shared" ca="1" si="2"/>
        <v>#NAME?</v>
      </c>
      <c r="K70" s="19"/>
      <c r="L70" s="133"/>
      <c r="M70" s="134"/>
      <c r="N70" s="134"/>
      <c r="O70" s="134"/>
      <c r="P70" s="112"/>
      <c r="Q70" s="120"/>
      <c r="R70" s="86" t="e">
        <f t="shared" ca="1" si="3"/>
        <v>#NAME?</v>
      </c>
      <c r="S70" s="83"/>
      <c r="T70" s="90"/>
      <c r="U70" s="91"/>
      <c r="V70" s="91"/>
      <c r="W70" s="91"/>
      <c r="X70" s="91"/>
      <c r="Y70" s="91"/>
      <c r="Z70" s="19"/>
      <c r="AA70" s="24"/>
      <c r="AB70" s="24"/>
      <c r="AC70" s="24"/>
      <c r="AD70" s="83"/>
      <c r="AE70" s="111">
        <v>37.7044</v>
      </c>
      <c r="AF70" s="112">
        <v>38.704000000000001</v>
      </c>
      <c r="AG70" s="120">
        <v>40.225499999999997</v>
      </c>
      <c r="AI70" s="141"/>
      <c r="AJ70" s="141"/>
      <c r="AK70" s="141"/>
      <c r="AL70" s="141"/>
    </row>
    <row r="71" spans="1:39" ht="15" customHeight="1" x14ac:dyDescent="0.2">
      <c r="B71" s="39" t="s">
        <v>53</v>
      </c>
      <c r="C71" s="61">
        <v>22</v>
      </c>
      <c r="D71" s="31"/>
      <c r="E71" s="31"/>
      <c r="F71" s="31"/>
      <c r="G71" s="31"/>
      <c r="H71" s="105"/>
      <c r="I71" s="106"/>
      <c r="J71" s="85" t="e">
        <f t="shared" ca="1" si="2"/>
        <v>#NAME?</v>
      </c>
      <c r="K71" s="19"/>
      <c r="L71" s="137"/>
      <c r="M71" s="138"/>
      <c r="N71" s="138"/>
      <c r="O71" s="138"/>
      <c r="P71" s="116"/>
      <c r="Q71" s="125"/>
      <c r="R71" s="85" t="e">
        <f t="shared" ca="1" si="3"/>
        <v>#NAME?</v>
      </c>
      <c r="S71" s="83"/>
      <c r="T71" s="94" t="e">
        <f ca="1">bdrate(D71:D74,E71:E74,L71:L74,M71:M74)</f>
        <v>#NAME?</v>
      </c>
      <c r="U71" s="95" t="e">
        <f ca="1">bdrate(D71:D74,F71:F74,L71:L74,N71:N74)</f>
        <v>#NAME?</v>
      </c>
      <c r="V71" s="95" t="e">
        <f ca="1">bdrate(D71:D74,G71:G74,L71:L74,O71:O74)</f>
        <v>#NAME?</v>
      </c>
      <c r="W71" s="95" t="e">
        <f ca="1">bdrateOld(D71:D74,E71:E74,L71:L74,M71:M74)</f>
        <v>#NAME?</v>
      </c>
      <c r="X71" s="95" t="e">
        <f ca="1">bdrateOld(D71:D74,F71:F74,L71:L74,N71:N74)</f>
        <v>#NAME?</v>
      </c>
      <c r="Y71" s="95" t="e">
        <f ca="1">bdrateOld(D71:D74,G71:G74,L71:L74,O71:O74)</f>
        <v>#NAME?</v>
      </c>
      <c r="Z71" s="19"/>
      <c r="AA71" s="31"/>
      <c r="AB71" s="31"/>
      <c r="AC71" s="31"/>
      <c r="AD71" s="83"/>
      <c r="AE71" s="115">
        <v>47.2226</v>
      </c>
      <c r="AF71" s="116">
        <v>50.9114</v>
      </c>
      <c r="AG71" s="125">
        <v>52.907200000000003</v>
      </c>
      <c r="AI71" s="141"/>
      <c r="AJ71" s="141"/>
      <c r="AK71" s="141"/>
      <c r="AL71" s="141"/>
    </row>
    <row r="72" spans="1:39" ht="15" customHeight="1" x14ac:dyDescent="0.2">
      <c r="B72" s="40"/>
      <c r="C72" s="19">
        <v>27</v>
      </c>
      <c r="D72" s="24"/>
      <c r="E72" s="24"/>
      <c r="F72" s="24"/>
      <c r="G72" s="24"/>
      <c r="H72" s="101"/>
      <c r="I72" s="102"/>
      <c r="J72" s="85" t="e">
        <f t="shared" ca="1" si="2"/>
        <v>#NAME?</v>
      </c>
      <c r="K72" s="19"/>
      <c r="L72" s="133"/>
      <c r="M72" s="134"/>
      <c r="N72" s="134"/>
      <c r="O72" s="134"/>
      <c r="P72" s="112"/>
      <c r="Q72" s="120"/>
      <c r="R72" s="85" t="e">
        <f t="shared" ca="1" si="3"/>
        <v>#NAME?</v>
      </c>
      <c r="S72" s="83"/>
      <c r="T72" s="90"/>
      <c r="U72" s="91"/>
      <c r="V72" s="91"/>
      <c r="W72" s="91"/>
      <c r="X72" s="91"/>
      <c r="Y72" s="91"/>
      <c r="Z72" s="19"/>
      <c r="AA72" s="24"/>
      <c r="AB72" s="24"/>
      <c r="AC72" s="24"/>
      <c r="AD72" s="83"/>
      <c r="AE72" s="111">
        <v>42.493299999999998</v>
      </c>
      <c r="AF72" s="112">
        <v>47.290700000000001</v>
      </c>
      <c r="AG72" s="120">
        <v>49.951000000000001</v>
      </c>
      <c r="AI72" s="141"/>
      <c r="AJ72" s="141"/>
      <c r="AK72" s="141"/>
      <c r="AL72" s="141"/>
    </row>
    <row r="73" spans="1:39" ht="15" customHeight="1" x14ac:dyDescent="0.2">
      <c r="B73" s="40"/>
      <c r="C73" s="19">
        <v>32</v>
      </c>
      <c r="D73" s="24"/>
      <c r="E73" s="24"/>
      <c r="F73" s="24"/>
      <c r="G73" s="24"/>
      <c r="H73" s="101"/>
      <c r="I73" s="102"/>
      <c r="J73" s="85" t="e">
        <f t="shared" ca="1" si="2"/>
        <v>#NAME?</v>
      </c>
      <c r="K73" s="19"/>
      <c r="L73" s="133"/>
      <c r="M73" s="134"/>
      <c r="N73" s="134"/>
      <c r="O73" s="134"/>
      <c r="P73" s="112"/>
      <c r="Q73" s="120"/>
      <c r="R73" s="85" t="e">
        <f t="shared" ca="1" si="3"/>
        <v>#NAME?</v>
      </c>
      <c r="S73" s="83"/>
      <c r="T73" s="90"/>
      <c r="U73" s="91"/>
      <c r="V73" s="91"/>
      <c r="W73" s="91"/>
      <c r="X73" s="91"/>
      <c r="Y73" s="91"/>
      <c r="Z73" s="19"/>
      <c r="AA73" s="24"/>
      <c r="AB73" s="24"/>
      <c r="AC73" s="24"/>
      <c r="AD73" s="83"/>
      <c r="AE73" s="111">
        <v>38.131799999999998</v>
      </c>
      <c r="AF73" s="112">
        <v>43.642899999999997</v>
      </c>
      <c r="AG73" s="120">
        <v>46.7104</v>
      </c>
      <c r="AI73" s="141"/>
      <c r="AJ73" s="141"/>
      <c r="AK73" s="141"/>
      <c r="AL73" s="141"/>
    </row>
    <row r="74" spans="1:39" ht="15" customHeight="1" x14ac:dyDescent="0.2">
      <c r="B74" s="51"/>
      <c r="C74" s="60">
        <v>37</v>
      </c>
      <c r="D74" s="25"/>
      <c r="E74" s="25"/>
      <c r="F74" s="25"/>
      <c r="G74" s="25"/>
      <c r="H74" s="103"/>
      <c r="I74" s="104"/>
      <c r="J74" s="86" t="e">
        <f t="shared" ca="1" si="2"/>
        <v>#NAME?</v>
      </c>
      <c r="K74" s="19"/>
      <c r="L74" s="135"/>
      <c r="M74" s="136"/>
      <c r="N74" s="136"/>
      <c r="O74" s="136"/>
      <c r="P74" s="114"/>
      <c r="Q74" s="121"/>
      <c r="R74" s="86" t="e">
        <f t="shared" ca="1" si="3"/>
        <v>#NAME?</v>
      </c>
      <c r="S74" s="83"/>
      <c r="T74" s="92"/>
      <c r="U74" s="93"/>
      <c r="V74" s="93"/>
      <c r="W74" s="93"/>
      <c r="X74" s="93"/>
      <c r="Y74" s="93"/>
      <c r="Z74" s="19"/>
      <c r="AA74" s="25"/>
      <c r="AB74" s="25"/>
      <c r="AC74" s="25"/>
      <c r="AD74" s="83"/>
      <c r="AE74" s="113">
        <v>34.378599999999999</v>
      </c>
      <c r="AF74" s="114">
        <v>39.9114</v>
      </c>
      <c r="AG74" s="121">
        <v>43.447499999999998</v>
      </c>
      <c r="AI74" s="141"/>
      <c r="AJ74" s="141"/>
      <c r="AK74" s="141"/>
      <c r="AL74" s="141"/>
    </row>
    <row r="75" spans="1:39" ht="15" customHeight="1" x14ac:dyDescent="0.2">
      <c r="B75" s="37" t="s">
        <v>54</v>
      </c>
      <c r="C75" s="19">
        <v>22</v>
      </c>
      <c r="D75" s="31"/>
      <c r="E75" s="31"/>
      <c r="F75" s="31"/>
      <c r="G75" s="31"/>
      <c r="H75" s="105"/>
      <c r="I75" s="106"/>
      <c r="J75" s="85" t="e">
        <f t="shared" ca="1" si="2"/>
        <v>#NAME?</v>
      </c>
      <c r="K75" s="19"/>
      <c r="L75" s="137"/>
      <c r="M75" s="138"/>
      <c r="N75" s="138"/>
      <c r="O75" s="138"/>
      <c r="P75" s="116"/>
      <c r="Q75" s="125"/>
      <c r="R75" s="85" t="e">
        <f t="shared" ca="1" si="3"/>
        <v>#NAME?</v>
      </c>
      <c r="S75" s="83"/>
      <c r="T75" s="94" t="e">
        <f ca="1">bdrate(D75:D78,E75:E78,L75:L78,M75:M78)</f>
        <v>#NAME?</v>
      </c>
      <c r="U75" s="95" t="e">
        <f ca="1">bdrate(D75:D78,F75:F78,L75:L78,N75:N78)</f>
        <v>#NAME?</v>
      </c>
      <c r="V75" s="95" t="e">
        <f ca="1">bdrate(D75:D78,G75:G78,L75:L78,O75:O78)</f>
        <v>#NAME?</v>
      </c>
      <c r="W75" s="95" t="e">
        <f ca="1">bdrateOld(D75:D78,E75:E78,L75:L78,M75:M78)</f>
        <v>#NAME?</v>
      </c>
      <c r="X75" s="95" t="e">
        <f ca="1">bdrateOld(D75:D78,F75:F78,L75:L78,N75:N78)</f>
        <v>#NAME?</v>
      </c>
      <c r="Y75" s="95" t="e">
        <f ca="1">bdrateOld(D75:D78,G75:G78,L75:L78,O75:O78)</f>
        <v>#NAME?</v>
      </c>
      <c r="Z75" s="19"/>
      <c r="AA75" s="31"/>
      <c r="AB75" s="31"/>
      <c r="AC75" s="31"/>
      <c r="AD75" s="83"/>
      <c r="AE75" s="115">
        <v>48.4651</v>
      </c>
      <c r="AF75" s="116">
        <v>48.115099999999998</v>
      </c>
      <c r="AG75" s="125">
        <v>48.6494</v>
      </c>
      <c r="AI75" s="141"/>
      <c r="AJ75" s="141"/>
      <c r="AK75" s="141"/>
      <c r="AL75" s="141"/>
    </row>
    <row r="76" spans="1:39" ht="15" customHeight="1" x14ac:dyDescent="0.2">
      <c r="B76" s="36"/>
      <c r="C76" s="19">
        <v>27</v>
      </c>
      <c r="D76" s="24"/>
      <c r="E76" s="24"/>
      <c r="F76" s="24"/>
      <c r="G76" s="24"/>
      <c r="H76" s="101"/>
      <c r="I76" s="102"/>
      <c r="J76" s="85" t="e">
        <f t="shared" ca="1" si="2"/>
        <v>#NAME?</v>
      </c>
      <c r="K76" s="19"/>
      <c r="L76" s="133"/>
      <c r="M76" s="134"/>
      <c r="N76" s="134"/>
      <c r="O76" s="134"/>
      <c r="P76" s="112"/>
      <c r="Q76" s="120"/>
      <c r="R76" s="85" t="e">
        <f t="shared" ca="1" si="3"/>
        <v>#NAME?</v>
      </c>
      <c r="S76" s="83"/>
      <c r="T76" s="90"/>
      <c r="U76" s="91"/>
      <c r="V76" s="91"/>
      <c r="W76" s="91"/>
      <c r="X76" s="91"/>
      <c r="Y76" s="91"/>
      <c r="Z76" s="19"/>
      <c r="AA76" s="24"/>
      <c r="AB76" s="24"/>
      <c r="AC76" s="24"/>
      <c r="AD76" s="83"/>
      <c r="AE76" s="111">
        <v>44.344099999999997</v>
      </c>
      <c r="AF76" s="112">
        <v>44.125900000000001</v>
      </c>
      <c r="AG76" s="120">
        <v>44.976199999999999</v>
      </c>
      <c r="AI76" s="141"/>
      <c r="AJ76" s="141"/>
      <c r="AK76" s="141"/>
      <c r="AL76" s="141"/>
    </row>
    <row r="77" spans="1:39" ht="15" customHeight="1" x14ac:dyDescent="0.2">
      <c r="B77" s="36"/>
      <c r="C77" s="19">
        <v>32</v>
      </c>
      <c r="D77" s="24"/>
      <c r="E77" s="24"/>
      <c r="F77" s="24"/>
      <c r="G77" s="24"/>
      <c r="H77" s="101"/>
      <c r="I77" s="102"/>
      <c r="J77" s="85" t="e">
        <f t="shared" ca="1" si="2"/>
        <v>#NAME?</v>
      </c>
      <c r="K77" s="19"/>
      <c r="L77" s="133"/>
      <c r="M77" s="134"/>
      <c r="N77" s="134"/>
      <c r="O77" s="134"/>
      <c r="P77" s="112"/>
      <c r="Q77" s="120"/>
      <c r="R77" s="85" t="e">
        <f t="shared" ca="1" si="3"/>
        <v>#NAME?</v>
      </c>
      <c r="S77" s="83"/>
      <c r="T77" s="90"/>
      <c r="U77" s="91"/>
      <c r="V77" s="91"/>
      <c r="W77" s="91"/>
      <c r="X77" s="91"/>
      <c r="Y77" s="98"/>
      <c r="Z77" s="19"/>
      <c r="AA77" s="24"/>
      <c r="AB77" s="24"/>
      <c r="AC77" s="24"/>
      <c r="AD77" s="83"/>
      <c r="AE77" s="111">
        <v>40.287199999999999</v>
      </c>
      <c r="AF77" s="112">
        <v>40.592199999999998</v>
      </c>
      <c r="AG77" s="120">
        <v>41.809199999999997</v>
      </c>
      <c r="AI77" s="141"/>
      <c r="AJ77" s="141"/>
      <c r="AK77" s="141"/>
      <c r="AL77" s="141"/>
    </row>
    <row r="78" spans="1:39" ht="15" customHeight="1" x14ac:dyDescent="0.2">
      <c r="B78" s="36"/>
      <c r="C78" s="19">
        <v>37</v>
      </c>
      <c r="D78" s="25"/>
      <c r="E78" s="25"/>
      <c r="F78" s="25"/>
      <c r="G78" s="25"/>
      <c r="H78" s="103"/>
      <c r="I78" s="104"/>
      <c r="J78" s="86" t="e">
        <f t="shared" ca="1" si="2"/>
        <v>#NAME?</v>
      </c>
      <c r="K78" s="19"/>
      <c r="L78" s="135"/>
      <c r="M78" s="136"/>
      <c r="N78" s="136"/>
      <c r="O78" s="136"/>
      <c r="P78" s="114"/>
      <c r="Q78" s="121"/>
      <c r="R78" s="86" t="e">
        <f t="shared" ca="1" si="3"/>
        <v>#NAME?</v>
      </c>
      <c r="S78" s="83"/>
      <c r="T78" s="92"/>
      <c r="U78" s="93"/>
      <c r="V78" s="93"/>
      <c r="W78" s="93"/>
      <c r="X78" s="93"/>
      <c r="Y78" s="93"/>
      <c r="Z78" s="19"/>
      <c r="AA78" s="25"/>
      <c r="AB78" s="25"/>
      <c r="AC78" s="25"/>
      <c r="AD78" s="83"/>
      <c r="AE78" s="113">
        <v>35.8598</v>
      </c>
      <c r="AF78" s="114">
        <v>37.3812</v>
      </c>
      <c r="AG78" s="121">
        <v>38.808900000000001</v>
      </c>
      <c r="AI78" s="141"/>
      <c r="AJ78" s="141"/>
      <c r="AK78" s="141"/>
      <c r="AL78" s="141"/>
    </row>
    <row r="79" spans="1:39" ht="15" customHeight="1" x14ac:dyDescent="0.2">
      <c r="B79" s="37" t="s">
        <v>55</v>
      </c>
      <c r="C79" s="61">
        <v>22</v>
      </c>
      <c r="D79" s="24"/>
      <c r="E79" s="24"/>
      <c r="F79" s="24"/>
      <c r="G79" s="24"/>
      <c r="H79" s="101"/>
      <c r="I79" s="102"/>
      <c r="J79" s="85" t="e">
        <f t="shared" ca="1" si="2"/>
        <v>#NAME?</v>
      </c>
      <c r="K79" s="19"/>
      <c r="L79" s="133"/>
      <c r="M79" s="134"/>
      <c r="N79" s="134"/>
      <c r="O79" s="134"/>
      <c r="P79" s="112"/>
      <c r="Q79" s="120"/>
      <c r="R79" s="85" t="e">
        <f t="shared" ca="1" si="3"/>
        <v>#NAME?</v>
      </c>
      <c r="S79" s="83"/>
      <c r="T79" s="90" t="e">
        <f ca="1">bdrate(D79:D82,E79:E82,L79:L82,M79:M82)</f>
        <v>#NAME?</v>
      </c>
      <c r="U79" s="91" t="e">
        <f ca="1">bdrate(D79:D82,F79:F82,L79:L82,N79:N82)</f>
        <v>#NAME?</v>
      </c>
      <c r="V79" s="91" t="e">
        <f ca="1">bdrate(D79:D82,G79:G82,L79:L82,O79:O82)</f>
        <v>#NAME?</v>
      </c>
      <c r="W79" s="91" t="e">
        <f ca="1">bdrateOld(D79:D82,E79:E82,L79:L82,M79:M82)</f>
        <v>#NAME?</v>
      </c>
      <c r="X79" s="91" t="e">
        <f ca="1">bdrateOld(D79:D82,F79:F82,L79:L82,N79:N82)</f>
        <v>#NAME?</v>
      </c>
      <c r="Y79" s="91" t="e">
        <f ca="1">bdrateOld(D79:D82,G79:G82,L79:L82,O79:O82)</f>
        <v>#NAME?</v>
      </c>
      <c r="Z79" s="19"/>
      <c r="AA79" s="24"/>
      <c r="AB79" s="24"/>
      <c r="AC79" s="24"/>
      <c r="AD79" s="83"/>
      <c r="AE79" s="111">
        <v>49.935299999999998</v>
      </c>
      <c r="AF79" s="112">
        <v>54.533200000000001</v>
      </c>
      <c r="AG79" s="120">
        <v>55.516300000000001</v>
      </c>
      <c r="AI79" s="141"/>
      <c r="AJ79" s="141"/>
      <c r="AK79" s="141"/>
      <c r="AL79" s="141"/>
    </row>
    <row r="80" spans="1:39" ht="15" customHeight="1" x14ac:dyDescent="0.2">
      <c r="B80" s="36"/>
      <c r="C80" s="19">
        <v>27</v>
      </c>
      <c r="D80" s="24"/>
      <c r="E80" s="24"/>
      <c r="F80" s="24"/>
      <c r="G80" s="24"/>
      <c r="H80" s="101"/>
      <c r="I80" s="102"/>
      <c r="J80" s="85" t="e">
        <f t="shared" ca="1" si="2"/>
        <v>#NAME?</v>
      </c>
      <c r="K80" s="19"/>
      <c r="L80" s="133"/>
      <c r="M80" s="134"/>
      <c r="N80" s="134"/>
      <c r="O80" s="134"/>
      <c r="P80" s="112"/>
      <c r="Q80" s="120"/>
      <c r="R80" s="85" t="e">
        <f t="shared" ca="1" si="3"/>
        <v>#NAME?</v>
      </c>
      <c r="S80" s="83"/>
      <c r="T80" s="90"/>
      <c r="U80" s="91"/>
      <c r="V80" s="91"/>
      <c r="W80" s="91"/>
      <c r="X80" s="91"/>
      <c r="Y80" s="91"/>
      <c r="Z80" s="19"/>
      <c r="AA80" s="24"/>
      <c r="AB80" s="24"/>
      <c r="AC80" s="24"/>
      <c r="AD80" s="83"/>
      <c r="AE80" s="111">
        <v>46.5839</v>
      </c>
      <c r="AF80" s="112">
        <v>51.502800000000001</v>
      </c>
      <c r="AG80" s="120">
        <v>52.714199999999998</v>
      </c>
      <c r="AI80" s="141"/>
      <c r="AJ80" s="141"/>
      <c r="AK80" s="141"/>
      <c r="AL80" s="141"/>
    </row>
    <row r="81" spans="1:38" ht="15" customHeight="1" x14ac:dyDescent="0.2">
      <c r="B81" s="36"/>
      <c r="C81" s="19">
        <v>32</v>
      </c>
      <c r="D81" s="24"/>
      <c r="E81" s="24"/>
      <c r="F81" s="24"/>
      <c r="G81" s="24"/>
      <c r="H81" s="101"/>
      <c r="I81" s="102"/>
      <c r="J81" s="85" t="e">
        <f t="shared" ca="1" si="2"/>
        <v>#NAME?</v>
      </c>
      <c r="K81" s="19"/>
      <c r="L81" s="133"/>
      <c r="M81" s="134"/>
      <c r="N81" s="134"/>
      <c r="O81" s="134"/>
      <c r="P81" s="112"/>
      <c r="Q81" s="120"/>
      <c r="R81" s="85" t="e">
        <f t="shared" ca="1" si="3"/>
        <v>#NAME?</v>
      </c>
      <c r="S81" s="83"/>
      <c r="T81" s="90"/>
      <c r="U81" s="91"/>
      <c r="V81" s="91"/>
      <c r="W81" s="91"/>
      <c r="X81" s="91"/>
      <c r="Y81" s="91"/>
      <c r="Z81" s="19"/>
      <c r="AA81" s="24"/>
      <c r="AB81" s="24"/>
      <c r="AC81" s="24"/>
      <c r="AD81" s="83"/>
      <c r="AE81" s="111">
        <v>43.155099999999997</v>
      </c>
      <c r="AF81" s="112">
        <v>48.642099999999999</v>
      </c>
      <c r="AG81" s="120">
        <v>50.096200000000003</v>
      </c>
      <c r="AI81" s="141"/>
      <c r="AJ81" s="141"/>
      <c r="AK81" s="141"/>
      <c r="AL81" s="141"/>
    </row>
    <row r="82" spans="1:38" ht="15" customHeight="1" thickBot="1" x14ac:dyDescent="0.25">
      <c r="B82" s="42"/>
      <c r="C82" s="20">
        <v>37</v>
      </c>
      <c r="D82" s="33"/>
      <c r="E82" s="33"/>
      <c r="F82" s="33"/>
      <c r="G82" s="33"/>
      <c r="H82" s="107"/>
      <c r="I82" s="108"/>
      <c r="J82" s="87" t="e">
        <f t="shared" ca="1" si="2"/>
        <v>#NAME?</v>
      </c>
      <c r="K82" s="19"/>
      <c r="L82" s="139"/>
      <c r="M82" s="140"/>
      <c r="N82" s="140"/>
      <c r="O82" s="140"/>
      <c r="P82" s="118"/>
      <c r="Q82" s="124"/>
      <c r="R82" s="87" t="e">
        <f t="shared" ca="1" si="3"/>
        <v>#NAME?</v>
      </c>
      <c r="S82" s="83"/>
      <c r="T82" s="96"/>
      <c r="U82" s="97"/>
      <c r="V82" s="97"/>
      <c r="W82" s="97"/>
      <c r="X82" s="97"/>
      <c r="Y82" s="97"/>
      <c r="Z82" s="19"/>
      <c r="AA82" s="33"/>
      <c r="AB82" s="33"/>
      <c r="AC82" s="33"/>
      <c r="AD82" s="83"/>
      <c r="AE82" s="117">
        <v>39.439700000000002</v>
      </c>
      <c r="AF82" s="118">
        <v>45.767499999999998</v>
      </c>
      <c r="AG82" s="124">
        <v>47.527200000000001</v>
      </c>
      <c r="AI82" s="141"/>
      <c r="AJ82" s="141"/>
      <c r="AK82" s="141"/>
      <c r="AL82" s="141"/>
    </row>
    <row r="83" spans="1:38" s="17" customFormat="1" ht="15" customHeight="1" x14ac:dyDescent="0.25">
      <c r="A83" s="54" t="s">
        <v>28</v>
      </c>
      <c r="B83" s="34" t="s">
        <v>45</v>
      </c>
      <c r="C83" s="18">
        <v>22</v>
      </c>
      <c r="D83" s="43"/>
      <c r="E83" s="43"/>
      <c r="F83" s="43"/>
      <c r="G83" s="43"/>
      <c r="H83" s="99"/>
      <c r="I83" s="100"/>
      <c r="J83" s="85" t="e">
        <f t="shared" ca="1" si="2"/>
        <v>#NAME?</v>
      </c>
      <c r="K83" s="19"/>
      <c r="L83" s="133"/>
      <c r="M83" s="134"/>
      <c r="N83" s="134"/>
      <c r="O83" s="134"/>
      <c r="P83" s="112"/>
      <c r="Q83" s="120"/>
      <c r="R83" s="85" t="e">
        <f t="shared" ca="1" si="3"/>
        <v>#NAME?</v>
      </c>
      <c r="S83" s="83"/>
      <c r="T83" s="90" t="e">
        <f ca="1">bdrate(D83:D86,E83:E86,L83:L86,M83:M86)</f>
        <v>#NAME?</v>
      </c>
      <c r="U83" s="91" t="e">
        <f ca="1">bdrate(D83:D86,F83:F86,L83:L86,N83:N86)</f>
        <v>#NAME?</v>
      </c>
      <c r="V83" s="91" t="e">
        <f ca="1">bdrate(D83:D86,G83:G86,L83:L86,O83:O86)</f>
        <v>#NAME?</v>
      </c>
      <c r="W83" s="91" t="e">
        <f ca="1">bdrateOld(D83:D86,E83:E86,L83:L86,M83:M86)</f>
        <v>#NAME?</v>
      </c>
      <c r="X83" s="91" t="e">
        <f ca="1">bdrateOld(D83:D86,F83:F86,L83:L86,N83:N86)</f>
        <v>#NAME?</v>
      </c>
      <c r="Y83" s="91" t="e">
        <f ca="1">bdrateOld(D83:D86,G83:G86,L83:L86,O83:O86)</f>
        <v>#NAME?</v>
      </c>
      <c r="Z83" s="19"/>
      <c r="AA83" s="43"/>
      <c r="AB83" s="43"/>
      <c r="AC83" s="43"/>
      <c r="AD83" s="83"/>
      <c r="AE83" s="111">
        <v>46.234099999999998</v>
      </c>
      <c r="AF83" s="112">
        <v>50.022100000000002</v>
      </c>
      <c r="AG83" s="120">
        <v>50.100499999999997</v>
      </c>
      <c r="AI83" s="141"/>
      <c r="AJ83" s="141"/>
      <c r="AK83" s="141"/>
      <c r="AL83" s="141"/>
    </row>
    <row r="84" spans="1:38" ht="15" customHeight="1" x14ac:dyDescent="0.2">
      <c r="B84" s="36"/>
      <c r="C84" s="19">
        <v>27</v>
      </c>
      <c r="D84" s="24"/>
      <c r="E84" s="24"/>
      <c r="F84" s="24"/>
      <c r="G84" s="24"/>
      <c r="H84" s="101"/>
      <c r="I84" s="102"/>
      <c r="J84" s="85" t="e">
        <f t="shared" ca="1" si="2"/>
        <v>#NAME?</v>
      </c>
      <c r="K84" s="19"/>
      <c r="L84" s="133"/>
      <c r="M84" s="134"/>
      <c r="N84" s="134"/>
      <c r="O84" s="134"/>
      <c r="P84" s="112"/>
      <c r="Q84" s="120"/>
      <c r="R84" s="85" t="e">
        <f t="shared" ca="1" si="3"/>
        <v>#NAME?</v>
      </c>
      <c r="S84" s="83"/>
      <c r="T84" s="90"/>
      <c r="U84" s="91"/>
      <c r="V84" s="91"/>
      <c r="W84" s="91"/>
      <c r="X84" s="91"/>
      <c r="Y84" s="91"/>
      <c r="Z84" s="19"/>
      <c r="AA84" s="24"/>
      <c r="AB84" s="24"/>
      <c r="AC84" s="24"/>
      <c r="AD84" s="83"/>
      <c r="AE84" s="111">
        <v>42.653700000000001</v>
      </c>
      <c r="AF84" s="112">
        <v>46.779699999999998</v>
      </c>
      <c r="AG84" s="120">
        <v>46.795000000000002</v>
      </c>
      <c r="AI84" s="141"/>
      <c r="AJ84" s="141"/>
      <c r="AK84" s="141"/>
      <c r="AL84" s="141"/>
    </row>
    <row r="85" spans="1:38" ht="15" customHeight="1" x14ac:dyDescent="0.2">
      <c r="B85" s="36"/>
      <c r="C85" s="19">
        <v>32</v>
      </c>
      <c r="D85" s="24"/>
      <c r="E85" s="24"/>
      <c r="F85" s="24"/>
      <c r="G85" s="24"/>
      <c r="H85" s="101"/>
      <c r="I85" s="102"/>
      <c r="J85" s="85" t="e">
        <f t="shared" ca="1" si="2"/>
        <v>#NAME?</v>
      </c>
      <c r="K85" s="19"/>
      <c r="L85" s="133"/>
      <c r="M85" s="134"/>
      <c r="N85" s="134"/>
      <c r="O85" s="134"/>
      <c r="P85" s="112"/>
      <c r="Q85" s="120"/>
      <c r="R85" s="85" t="e">
        <f t="shared" ca="1" si="3"/>
        <v>#NAME?</v>
      </c>
      <c r="S85" s="83"/>
      <c r="T85" s="90"/>
      <c r="U85" s="91"/>
      <c r="V85" s="91"/>
      <c r="W85" s="91"/>
      <c r="X85" s="91"/>
      <c r="Y85" s="91"/>
      <c r="Z85" s="19"/>
      <c r="AA85" s="24"/>
      <c r="AB85" s="24"/>
      <c r="AC85" s="24"/>
      <c r="AD85" s="83"/>
      <c r="AE85" s="111">
        <v>39.1128</v>
      </c>
      <c r="AF85" s="112">
        <v>43.708300000000001</v>
      </c>
      <c r="AG85" s="120">
        <v>43.718499999999999</v>
      </c>
      <c r="AI85" s="141"/>
      <c r="AJ85" s="141"/>
      <c r="AK85" s="141"/>
      <c r="AL85" s="141"/>
    </row>
    <row r="86" spans="1:38" ht="15" customHeight="1" x14ac:dyDescent="0.2">
      <c r="B86" s="36"/>
      <c r="C86" s="60">
        <v>37</v>
      </c>
      <c r="D86" s="24"/>
      <c r="E86" s="24"/>
      <c r="F86" s="24"/>
      <c r="G86" s="24"/>
      <c r="H86" s="101"/>
      <c r="I86" s="102"/>
      <c r="J86" s="86" t="e">
        <f t="shared" ca="1" si="2"/>
        <v>#NAME?</v>
      </c>
      <c r="K86" s="19"/>
      <c r="L86" s="133"/>
      <c r="M86" s="134"/>
      <c r="N86" s="134"/>
      <c r="O86" s="134"/>
      <c r="P86" s="112"/>
      <c r="Q86" s="120"/>
      <c r="R86" s="86" t="e">
        <f t="shared" ca="1" si="3"/>
        <v>#NAME?</v>
      </c>
      <c r="S86" s="83"/>
      <c r="T86" s="90"/>
      <c r="U86" s="91"/>
      <c r="V86" s="91"/>
      <c r="W86" s="91"/>
      <c r="X86" s="91"/>
      <c r="Y86" s="91"/>
      <c r="Z86" s="19"/>
      <c r="AA86" s="24"/>
      <c r="AB86" s="24"/>
      <c r="AC86" s="24"/>
      <c r="AD86" s="83"/>
      <c r="AE86" s="111">
        <v>35.342300000000002</v>
      </c>
      <c r="AF86" s="112">
        <v>40.258499999999998</v>
      </c>
      <c r="AG86" s="120">
        <v>40.421900000000001</v>
      </c>
      <c r="AI86" s="141"/>
      <c r="AJ86" s="141"/>
      <c r="AK86" s="141"/>
      <c r="AL86" s="141"/>
    </row>
    <row r="87" spans="1:38" ht="15" customHeight="1" x14ac:dyDescent="0.2">
      <c r="B87" s="37" t="s">
        <v>46</v>
      </c>
      <c r="C87" s="19">
        <v>22</v>
      </c>
      <c r="D87" s="31"/>
      <c r="E87" s="31"/>
      <c r="F87" s="31"/>
      <c r="G87" s="31"/>
      <c r="H87" s="105"/>
      <c r="I87" s="106"/>
      <c r="J87" s="85" t="e">
        <f t="shared" ca="1" si="2"/>
        <v>#NAME?</v>
      </c>
      <c r="K87" s="19"/>
      <c r="L87" s="137"/>
      <c r="M87" s="138"/>
      <c r="N87" s="138"/>
      <c r="O87" s="138"/>
      <c r="P87" s="116"/>
      <c r="Q87" s="125"/>
      <c r="R87" s="85" t="e">
        <f t="shared" ca="1" si="3"/>
        <v>#NAME?</v>
      </c>
      <c r="S87" s="83"/>
      <c r="T87" s="94" t="e">
        <f ca="1">bdrate(D87:D90,E87:E90,L87:L90,M87:M90)</f>
        <v>#NAME?</v>
      </c>
      <c r="U87" s="95" t="e">
        <f ca="1">bdrate(D87:D90,F87:F90,L87:L90,N87:N90)</f>
        <v>#NAME?</v>
      </c>
      <c r="V87" s="95" t="e">
        <f ca="1">bdrate(D87:D90,G87:G90,L87:L90,O87:O90)</f>
        <v>#NAME?</v>
      </c>
      <c r="W87" s="95" t="e">
        <f ca="1">bdrateOld(D87:D90,E87:E90,L87:L90,M87:M90)</f>
        <v>#NAME?</v>
      </c>
      <c r="X87" s="95" t="e">
        <f ca="1">bdrateOld(D87:D90,F87:F90,L87:L90,N87:N90)</f>
        <v>#NAME?</v>
      </c>
      <c r="Y87" s="95" t="e">
        <f ca="1">bdrateOld(D87:D90,G87:G90,L87:L90,O87:O90)</f>
        <v>#NAME?</v>
      </c>
      <c r="Z87" s="19"/>
      <c r="AA87" s="31"/>
      <c r="AB87" s="31"/>
      <c r="AC87" s="31"/>
      <c r="AD87" s="83"/>
      <c r="AE87" s="115">
        <v>46.106099999999998</v>
      </c>
      <c r="AF87" s="116">
        <v>50.8934</v>
      </c>
      <c r="AG87" s="125">
        <v>51.8596</v>
      </c>
      <c r="AI87" s="141"/>
      <c r="AJ87" s="141"/>
      <c r="AK87" s="141"/>
      <c r="AL87" s="141"/>
    </row>
    <row r="88" spans="1:38" ht="15" customHeight="1" x14ac:dyDescent="0.2">
      <c r="B88" s="36"/>
      <c r="C88" s="19">
        <v>27</v>
      </c>
      <c r="D88" s="24"/>
      <c r="E88" s="24"/>
      <c r="F88" s="24"/>
      <c r="G88" s="24"/>
      <c r="H88" s="101"/>
      <c r="I88" s="102"/>
      <c r="J88" s="85" t="e">
        <f t="shared" ca="1" si="2"/>
        <v>#NAME?</v>
      </c>
      <c r="K88" s="19"/>
      <c r="L88" s="133"/>
      <c r="M88" s="134"/>
      <c r="N88" s="134"/>
      <c r="O88" s="134"/>
      <c r="P88" s="112"/>
      <c r="Q88" s="120"/>
      <c r="R88" s="85" t="e">
        <f t="shared" ca="1" si="3"/>
        <v>#NAME?</v>
      </c>
      <c r="S88" s="83"/>
      <c r="T88" s="90"/>
      <c r="U88" s="91"/>
      <c r="V88" s="91"/>
      <c r="W88" s="91"/>
      <c r="X88" s="91"/>
      <c r="Y88" s="91"/>
      <c r="Z88" s="19"/>
      <c r="AA88" s="24"/>
      <c r="AB88" s="24"/>
      <c r="AC88" s="24"/>
      <c r="AD88" s="83"/>
      <c r="AE88" s="111">
        <v>42.687899999999999</v>
      </c>
      <c r="AF88" s="112">
        <v>48.127499999999998</v>
      </c>
      <c r="AG88" s="120">
        <v>48.793700000000001</v>
      </c>
      <c r="AI88" s="141"/>
      <c r="AJ88" s="141"/>
      <c r="AK88" s="141"/>
      <c r="AL88" s="141"/>
    </row>
    <row r="89" spans="1:38" ht="15" customHeight="1" x14ac:dyDescent="0.2">
      <c r="B89" s="36"/>
      <c r="C89" s="19">
        <v>32</v>
      </c>
      <c r="D89" s="24"/>
      <c r="E89" s="24"/>
      <c r="F89" s="24"/>
      <c r="G89" s="24"/>
      <c r="H89" s="101"/>
      <c r="I89" s="102"/>
      <c r="J89" s="85" t="e">
        <f t="shared" ca="1" si="2"/>
        <v>#NAME?</v>
      </c>
      <c r="K89" s="19"/>
      <c r="L89" s="133"/>
      <c r="M89" s="134"/>
      <c r="N89" s="134"/>
      <c r="O89" s="134"/>
      <c r="P89" s="112"/>
      <c r="Q89" s="120"/>
      <c r="R89" s="85" t="e">
        <f t="shared" ca="1" si="3"/>
        <v>#NAME?</v>
      </c>
      <c r="S89" s="83"/>
      <c r="T89" s="90"/>
      <c r="U89" s="91"/>
      <c r="V89" s="91"/>
      <c r="W89" s="91"/>
      <c r="X89" s="91"/>
      <c r="Y89" s="91"/>
      <c r="Z89" s="19"/>
      <c r="AA89" s="24"/>
      <c r="AB89" s="24"/>
      <c r="AC89" s="24"/>
      <c r="AD89" s="83"/>
      <c r="AE89" s="111">
        <v>39.3416</v>
      </c>
      <c r="AF89" s="112">
        <v>45.1038</v>
      </c>
      <c r="AG89" s="120">
        <v>45.756399999999999</v>
      </c>
      <c r="AI89" s="141"/>
      <c r="AJ89" s="141"/>
      <c r="AK89" s="141"/>
      <c r="AL89" s="141"/>
    </row>
    <row r="90" spans="1:38" ht="15" customHeight="1" thickBot="1" x14ac:dyDescent="0.25">
      <c r="B90" s="42"/>
      <c r="C90" s="20">
        <v>37</v>
      </c>
      <c r="D90" s="33"/>
      <c r="E90" s="33"/>
      <c r="F90" s="33"/>
      <c r="G90" s="33"/>
      <c r="H90" s="107"/>
      <c r="I90" s="108"/>
      <c r="J90" s="87" t="e">
        <f t="shared" ca="1" si="2"/>
        <v>#NAME?</v>
      </c>
      <c r="K90" s="19"/>
      <c r="L90" s="139"/>
      <c r="M90" s="140"/>
      <c r="N90" s="140"/>
      <c r="O90" s="140"/>
      <c r="P90" s="118"/>
      <c r="Q90" s="124"/>
      <c r="R90" s="87" t="e">
        <f t="shared" ca="1" si="3"/>
        <v>#NAME?</v>
      </c>
      <c r="S90" s="83"/>
      <c r="T90" s="96"/>
      <c r="U90" s="97"/>
      <c r="V90" s="97"/>
      <c r="W90" s="97"/>
      <c r="X90" s="97"/>
      <c r="Y90" s="97"/>
      <c r="Z90" s="19"/>
      <c r="AA90" s="33"/>
      <c r="AB90" s="33"/>
      <c r="AC90" s="33"/>
      <c r="AD90" s="83"/>
      <c r="AE90" s="117">
        <v>35.826300000000003</v>
      </c>
      <c r="AF90" s="118">
        <v>41.930900000000001</v>
      </c>
      <c r="AG90" s="124">
        <v>42.831099999999999</v>
      </c>
      <c r="AI90" s="141"/>
      <c r="AJ90" s="141"/>
      <c r="AK90" s="141"/>
      <c r="AL90" s="141"/>
    </row>
    <row r="91" spans="1:38" ht="15" customHeight="1" x14ac:dyDescent="0.25">
      <c r="A91" s="54" t="s">
        <v>29</v>
      </c>
      <c r="B91" s="34" t="s">
        <v>47</v>
      </c>
      <c r="C91" s="18">
        <v>22</v>
      </c>
      <c r="D91" s="43"/>
      <c r="E91" s="43"/>
      <c r="F91" s="43"/>
      <c r="G91" s="43"/>
      <c r="H91" s="99"/>
      <c r="I91" s="100"/>
      <c r="J91" s="85" t="e">
        <f t="shared" ca="1" si="2"/>
        <v>#NAME?</v>
      </c>
      <c r="K91" s="19"/>
      <c r="L91" s="133"/>
      <c r="M91" s="134"/>
      <c r="N91" s="134"/>
      <c r="O91" s="134"/>
      <c r="P91" s="112"/>
      <c r="Q91" s="120"/>
      <c r="R91" s="85" t="e">
        <f t="shared" ca="1" si="3"/>
        <v>#NAME?</v>
      </c>
      <c r="S91" s="83"/>
      <c r="T91" s="90" t="e">
        <f ca="1">bdrate(D91:D94,E91:E94,L91:L94,M91:M94)</f>
        <v>#NAME?</v>
      </c>
      <c r="U91" s="91" t="e">
        <f ca="1">bdrate(D91:D94,F91:F94,L91:L94,N91:N94)</f>
        <v>#NAME?</v>
      </c>
      <c r="V91" s="91" t="e">
        <f ca="1">bdrate(D91:D94,G91:G94,L91:L94,O91:O94)</f>
        <v>#NAME?</v>
      </c>
      <c r="W91" s="91" t="e">
        <f ca="1">bdrateOld(D91:D94,E91:E94,L91:L94,M91:M94)</f>
        <v>#NAME?</v>
      </c>
      <c r="X91" s="91" t="e">
        <f ca="1">bdrateOld(D91:D94,F91:F94,L91:L94,N91:N94)</f>
        <v>#NAME?</v>
      </c>
      <c r="Y91" s="91" t="e">
        <f ca="1">bdrateOld(D91:D94,G91:G94,L91:L94,O91:O94)</f>
        <v>#NAME?</v>
      </c>
      <c r="Z91" s="19"/>
      <c r="AA91" s="43"/>
      <c r="AB91" s="43"/>
      <c r="AC91" s="43"/>
      <c r="AD91" s="83"/>
      <c r="AE91" s="111">
        <v>46.854799999999997</v>
      </c>
      <c r="AF91" s="112">
        <v>50.072000000000003</v>
      </c>
      <c r="AG91" s="120">
        <v>50.39</v>
      </c>
      <c r="AI91" s="141"/>
      <c r="AJ91" s="141"/>
      <c r="AK91" s="141"/>
      <c r="AL91" s="141"/>
    </row>
    <row r="92" spans="1:38" ht="15" customHeight="1" x14ac:dyDescent="0.2">
      <c r="B92" s="36"/>
      <c r="C92" s="19">
        <v>27</v>
      </c>
      <c r="D92" s="24"/>
      <c r="E92" s="24"/>
      <c r="F92" s="24"/>
      <c r="G92" s="24"/>
      <c r="H92" s="101"/>
      <c r="I92" s="102"/>
      <c r="J92" s="85" t="e">
        <f t="shared" ca="1" si="2"/>
        <v>#NAME?</v>
      </c>
      <c r="K92" s="19"/>
      <c r="L92" s="133"/>
      <c r="M92" s="134"/>
      <c r="N92" s="134"/>
      <c r="O92" s="134"/>
      <c r="P92" s="112"/>
      <c r="Q92" s="120"/>
      <c r="R92" s="85" t="e">
        <f t="shared" ca="1" si="3"/>
        <v>#NAME?</v>
      </c>
      <c r="S92" s="83"/>
      <c r="T92" s="90"/>
      <c r="U92" s="91"/>
      <c r="V92" s="91"/>
      <c r="W92" s="91"/>
      <c r="X92" s="91"/>
      <c r="Y92" s="91"/>
      <c r="Z92" s="19"/>
      <c r="AA92" s="24"/>
      <c r="AB92" s="24"/>
      <c r="AC92" s="24"/>
      <c r="AD92" s="83"/>
      <c r="AE92" s="111">
        <v>43.070799999999998</v>
      </c>
      <c r="AF92" s="112">
        <v>46.569899999999997</v>
      </c>
      <c r="AG92" s="120">
        <v>46.851500000000001</v>
      </c>
      <c r="AI92" s="141"/>
      <c r="AJ92" s="141"/>
      <c r="AK92" s="141"/>
      <c r="AL92" s="141"/>
    </row>
    <row r="93" spans="1:38" ht="15" customHeight="1" x14ac:dyDescent="0.2">
      <c r="B93" s="36"/>
      <c r="C93" s="19">
        <v>32</v>
      </c>
      <c r="D93" s="24"/>
      <c r="E93" s="24"/>
      <c r="F93" s="24"/>
      <c r="G93" s="24"/>
      <c r="H93" s="101"/>
      <c r="I93" s="102"/>
      <c r="J93" s="85" t="e">
        <f t="shared" ca="1" si="2"/>
        <v>#NAME?</v>
      </c>
      <c r="K93" s="19"/>
      <c r="L93" s="133"/>
      <c r="M93" s="134"/>
      <c r="N93" s="134"/>
      <c r="O93" s="134"/>
      <c r="P93" s="112"/>
      <c r="Q93" s="120"/>
      <c r="R93" s="85" t="e">
        <f t="shared" ca="1" si="3"/>
        <v>#NAME?</v>
      </c>
      <c r="S93" s="83"/>
      <c r="T93" s="90"/>
      <c r="U93" s="91"/>
      <c r="V93" s="91"/>
      <c r="W93" s="91"/>
      <c r="X93" s="91"/>
      <c r="Y93" s="91"/>
      <c r="Z93" s="19"/>
      <c r="AA93" s="24"/>
      <c r="AB93" s="24"/>
      <c r="AC93" s="24"/>
      <c r="AD93" s="83"/>
      <c r="AE93" s="111">
        <v>39.229100000000003</v>
      </c>
      <c r="AF93" s="112">
        <v>43.173499999999997</v>
      </c>
      <c r="AG93" s="120">
        <v>43.676000000000002</v>
      </c>
      <c r="AI93" s="141"/>
      <c r="AJ93" s="141"/>
      <c r="AK93" s="141"/>
      <c r="AL93" s="141"/>
    </row>
    <row r="94" spans="1:38" ht="15" customHeight="1" thickBot="1" x14ac:dyDescent="0.25">
      <c r="B94" s="36"/>
      <c r="C94" s="19">
        <v>37</v>
      </c>
      <c r="D94" s="25"/>
      <c r="E94" s="25"/>
      <c r="F94" s="25"/>
      <c r="G94" s="25"/>
      <c r="H94" s="103"/>
      <c r="I94" s="104"/>
      <c r="J94" s="87" t="e">
        <f t="shared" ca="1" si="2"/>
        <v>#NAME?</v>
      </c>
      <c r="K94" s="19"/>
      <c r="L94" s="133"/>
      <c r="M94" s="134"/>
      <c r="N94" s="134"/>
      <c r="O94" s="134"/>
      <c r="P94" s="112"/>
      <c r="Q94" s="120"/>
      <c r="R94" s="85" t="e">
        <f t="shared" ca="1" si="3"/>
        <v>#NAME?</v>
      </c>
      <c r="S94" s="83"/>
      <c r="T94" s="90"/>
      <c r="U94" s="91"/>
      <c r="V94" s="91"/>
      <c r="W94" s="91"/>
      <c r="X94" s="91"/>
      <c r="Y94" s="91"/>
      <c r="Z94" s="19"/>
      <c r="AA94" s="25"/>
      <c r="AB94" s="25"/>
      <c r="AC94" s="25"/>
      <c r="AD94" s="83"/>
      <c r="AE94" s="111">
        <v>35.165700000000001</v>
      </c>
      <c r="AF94" s="112">
        <v>39.664400000000001</v>
      </c>
      <c r="AG94" s="120">
        <v>40.4133</v>
      </c>
      <c r="AI94" s="141"/>
      <c r="AJ94" s="141"/>
      <c r="AK94" s="141"/>
      <c r="AL94" s="141"/>
    </row>
    <row r="95" spans="1:38" ht="15" customHeight="1" x14ac:dyDescent="0.25">
      <c r="A95" s="54" t="s">
        <v>30</v>
      </c>
      <c r="B95" s="34" t="s">
        <v>56</v>
      </c>
      <c r="C95" s="18">
        <v>22</v>
      </c>
      <c r="D95" s="43"/>
      <c r="E95" s="43"/>
      <c r="F95" s="43"/>
      <c r="G95" s="43"/>
      <c r="H95" s="99"/>
      <c r="I95" s="100"/>
      <c r="J95" s="85" t="e">
        <f t="shared" ca="1" si="2"/>
        <v>#NAME?</v>
      </c>
      <c r="K95" s="19"/>
      <c r="L95" s="131"/>
      <c r="M95" s="132"/>
      <c r="N95" s="132"/>
      <c r="O95" s="132"/>
      <c r="P95" s="110"/>
      <c r="Q95" s="119"/>
      <c r="R95" s="84" t="e">
        <f t="shared" ca="1" si="3"/>
        <v>#NAME?</v>
      </c>
      <c r="S95" s="83"/>
      <c r="T95" s="88" t="e">
        <f ca="1">bdrate(D95:D98,E95:E98,L95:L98,M95:M98)</f>
        <v>#NAME?</v>
      </c>
      <c r="U95" s="89" t="e">
        <f ca="1">bdrate(D95:D98,F95:F98,L95:L98,N95:N98)</f>
        <v>#NAME?</v>
      </c>
      <c r="V95" s="89" t="e">
        <f ca="1">bdrate(D95:D98,G95:G98,L95:L98,O95:O98)</f>
        <v>#NAME?</v>
      </c>
      <c r="W95" s="89" t="e">
        <f ca="1">bdrateOld(D95:D98,E95:E98,L95:L98,M95:M98)</f>
        <v>#NAME?</v>
      </c>
      <c r="X95" s="89" t="e">
        <f ca="1">bdrateOld(D95:D98,F95:F98,L95:L98,N95:N98)</f>
        <v>#NAME?</v>
      </c>
      <c r="Y95" s="89" t="e">
        <f ca="1">bdrateOld(D95:D98,G95:G98,L95:L98,O95:O98)</f>
        <v>#NAME?</v>
      </c>
      <c r="Z95" s="19"/>
      <c r="AA95" s="43"/>
      <c r="AB95" s="43"/>
      <c r="AC95" s="43"/>
      <c r="AD95" s="83"/>
      <c r="AE95" s="109">
        <v>42.673400000000001</v>
      </c>
      <c r="AF95" s="110">
        <v>45.790500000000002</v>
      </c>
      <c r="AG95" s="119">
        <v>45.023400000000002</v>
      </c>
      <c r="AI95" s="141"/>
      <c r="AJ95" s="141"/>
      <c r="AK95" s="141"/>
      <c r="AL95" s="141"/>
    </row>
    <row r="96" spans="1:38" ht="15" customHeight="1" x14ac:dyDescent="0.2">
      <c r="A96" s="52"/>
      <c r="B96" s="36"/>
      <c r="C96" s="19">
        <v>27</v>
      </c>
      <c r="D96" s="24"/>
      <c r="E96" s="24"/>
      <c r="F96" s="24"/>
      <c r="G96" s="24"/>
      <c r="H96" s="101"/>
      <c r="I96" s="102"/>
      <c r="J96" s="85" t="e">
        <f t="shared" ca="1" si="2"/>
        <v>#NAME?</v>
      </c>
      <c r="K96" s="19"/>
      <c r="L96" s="133"/>
      <c r="M96" s="134"/>
      <c r="N96" s="134"/>
      <c r="O96" s="134"/>
      <c r="P96" s="112"/>
      <c r="Q96" s="120"/>
      <c r="R96" s="85" t="e">
        <f t="shared" ca="1" si="3"/>
        <v>#NAME?</v>
      </c>
      <c r="S96" s="83"/>
      <c r="T96" s="90"/>
      <c r="U96" s="91"/>
      <c r="V96" s="91"/>
      <c r="W96" s="91"/>
      <c r="X96" s="91"/>
      <c r="Y96" s="91"/>
      <c r="Z96" s="19"/>
      <c r="AA96" s="24"/>
      <c r="AB96" s="24"/>
      <c r="AC96" s="24"/>
      <c r="AD96" s="83"/>
      <c r="AE96" s="111">
        <v>38.754800000000003</v>
      </c>
      <c r="AF96" s="112">
        <v>42.896099999999997</v>
      </c>
      <c r="AG96" s="120">
        <v>42.142000000000003</v>
      </c>
      <c r="AI96" s="141"/>
      <c r="AJ96" s="141"/>
      <c r="AK96" s="141"/>
      <c r="AL96" s="141"/>
    </row>
    <row r="97" spans="1:38" ht="15" customHeight="1" x14ac:dyDescent="0.2">
      <c r="A97" s="52"/>
      <c r="B97" s="36"/>
      <c r="C97" s="19">
        <v>32</v>
      </c>
      <c r="D97" s="24"/>
      <c r="E97" s="24"/>
      <c r="F97" s="24"/>
      <c r="G97" s="24"/>
      <c r="H97" s="101"/>
      <c r="I97" s="102"/>
      <c r="J97" s="85" t="e">
        <f t="shared" ca="1" si="2"/>
        <v>#NAME?</v>
      </c>
      <c r="K97" s="19"/>
      <c r="L97" s="133"/>
      <c r="M97" s="134"/>
      <c r="N97" s="134"/>
      <c r="O97" s="134"/>
      <c r="P97" s="112"/>
      <c r="Q97" s="120"/>
      <c r="R97" s="85" t="e">
        <f t="shared" ca="1" si="3"/>
        <v>#NAME?</v>
      </c>
      <c r="S97" s="83"/>
      <c r="T97" s="90"/>
      <c r="U97" s="91"/>
      <c r="V97" s="91"/>
      <c r="W97" s="91"/>
      <c r="X97" s="91"/>
      <c r="Y97" s="91"/>
      <c r="Z97" s="19"/>
      <c r="AA97" s="24"/>
      <c r="AB97" s="24"/>
      <c r="AC97" s="24"/>
      <c r="AD97" s="83"/>
      <c r="AE97" s="111">
        <v>35.6511</v>
      </c>
      <c r="AF97" s="112">
        <v>40.5139</v>
      </c>
      <c r="AG97" s="120">
        <v>39.909399999999998</v>
      </c>
      <c r="AI97" s="141"/>
      <c r="AJ97" s="141"/>
      <c r="AK97" s="141"/>
      <c r="AL97" s="141"/>
    </row>
    <row r="98" spans="1:38" ht="15" customHeight="1" thickBot="1" x14ac:dyDescent="0.25">
      <c r="A98" s="56"/>
      <c r="B98" s="42"/>
      <c r="C98" s="20">
        <v>37</v>
      </c>
      <c r="D98" s="33"/>
      <c r="E98" s="33"/>
      <c r="F98" s="33"/>
      <c r="G98" s="33"/>
      <c r="H98" s="107"/>
      <c r="I98" s="108"/>
      <c r="J98" s="87" t="e">
        <f t="shared" ca="1" si="2"/>
        <v>#NAME?</v>
      </c>
      <c r="K98" s="19"/>
      <c r="L98" s="139"/>
      <c r="M98" s="140"/>
      <c r="N98" s="140"/>
      <c r="O98" s="140"/>
      <c r="P98" s="118"/>
      <c r="Q98" s="124"/>
      <c r="R98" s="87" t="e">
        <f t="shared" ca="1" si="3"/>
        <v>#NAME?</v>
      </c>
      <c r="S98" s="83"/>
      <c r="T98" s="96"/>
      <c r="U98" s="97"/>
      <c r="V98" s="97"/>
      <c r="W98" s="97"/>
      <c r="X98" s="97"/>
      <c r="Y98" s="97"/>
      <c r="Z98" s="19"/>
      <c r="AA98" s="33"/>
      <c r="AB98" s="33"/>
      <c r="AC98" s="33"/>
      <c r="AD98" s="83"/>
      <c r="AE98" s="117">
        <v>33.165500000000002</v>
      </c>
      <c r="AF98" s="118">
        <v>38.536700000000003</v>
      </c>
      <c r="AG98" s="124">
        <v>38.208300000000001</v>
      </c>
      <c r="AI98" s="141"/>
      <c r="AJ98" s="141"/>
      <c r="AK98" s="141"/>
      <c r="AL98" s="141"/>
    </row>
    <row r="99" spans="1:38" s="21" customFormat="1" ht="15" customHeight="1" x14ac:dyDescent="0.25">
      <c r="A99" s="54" t="s">
        <v>34</v>
      </c>
      <c r="B99" s="34" t="s">
        <v>32</v>
      </c>
      <c r="C99" s="18">
        <v>22</v>
      </c>
      <c r="D99" s="43"/>
      <c r="E99" s="43"/>
      <c r="F99" s="43"/>
      <c r="G99" s="43"/>
      <c r="H99" s="99"/>
      <c r="I99" s="100"/>
      <c r="J99" s="85" t="e">
        <f t="shared" ca="1" si="2"/>
        <v>#NAME?</v>
      </c>
      <c r="K99" s="19"/>
      <c r="L99" s="133"/>
      <c r="M99" s="134"/>
      <c r="N99" s="134"/>
      <c r="O99" s="134"/>
      <c r="P99" s="112"/>
      <c r="Q99" s="120"/>
      <c r="R99" s="85" t="e">
        <f t="shared" ca="1" si="3"/>
        <v>#NAME?</v>
      </c>
      <c r="S99" s="83"/>
      <c r="T99" s="90" t="e">
        <f ca="1">bdrate(D99:D102,E99:E102,L99:L102,M99:M102)</f>
        <v>#NAME?</v>
      </c>
      <c r="U99" s="91" t="e">
        <f ca="1">bdrate(D99:D102,F99:F102,L99:L102,N99:N102)</f>
        <v>#NAME?</v>
      </c>
      <c r="V99" s="91" t="e">
        <f ca="1">bdrate(D99:D102,G99:G102,L99:L102,O99:O102)</f>
        <v>#NAME?</v>
      </c>
      <c r="W99" s="91" t="e">
        <f ca="1">bdrateOld(D99:D102,E99:E102,L99:L102,M99:M102)</f>
        <v>#NAME?</v>
      </c>
      <c r="X99" s="91" t="e">
        <f ca="1">bdrateOld(D99:D102,F99:F102,L99:L102,N99:N102)</f>
        <v>#NAME?</v>
      </c>
      <c r="Y99" s="91" t="e">
        <f ca="1">bdrateOld(D99:D102,G99:G102,L99:L102,O99:O102)</f>
        <v>#NAME?</v>
      </c>
      <c r="Z99" s="19"/>
      <c r="AA99" s="43"/>
      <c r="AB99" s="43"/>
      <c r="AC99" s="43"/>
      <c r="AD99" s="83"/>
      <c r="AE99" s="111">
        <v>43.669699999999999</v>
      </c>
      <c r="AF99" s="112">
        <v>47.005600000000001</v>
      </c>
      <c r="AG99" s="120">
        <v>48.409199999999998</v>
      </c>
      <c r="AI99" s="141"/>
      <c r="AJ99" s="141"/>
      <c r="AK99" s="141"/>
      <c r="AL99" s="141"/>
    </row>
    <row r="100" spans="1:38" s="21" customFormat="1" ht="15" customHeight="1" x14ac:dyDescent="0.2">
      <c r="A100" s="55"/>
      <c r="B100" s="36"/>
      <c r="C100" s="19">
        <v>27</v>
      </c>
      <c r="D100" s="24"/>
      <c r="E100" s="24"/>
      <c r="F100" s="24"/>
      <c r="G100" s="24"/>
      <c r="H100" s="101"/>
      <c r="I100" s="102"/>
      <c r="J100" s="85" t="e">
        <f t="shared" ca="1" si="2"/>
        <v>#NAME?</v>
      </c>
      <c r="K100" s="19"/>
      <c r="L100" s="133"/>
      <c r="M100" s="134"/>
      <c r="N100" s="134"/>
      <c r="O100" s="134"/>
      <c r="P100" s="112"/>
      <c r="Q100" s="120"/>
      <c r="R100" s="85" t="e">
        <f t="shared" ca="1" si="3"/>
        <v>#NAME?</v>
      </c>
      <c r="S100" s="83"/>
      <c r="T100" s="90"/>
      <c r="U100" s="91"/>
      <c r="V100" s="91"/>
      <c r="W100" s="91"/>
      <c r="X100" s="91"/>
      <c r="Y100" s="91"/>
      <c r="Z100" s="19"/>
      <c r="AA100" s="24"/>
      <c r="AB100" s="24"/>
      <c r="AC100" s="24"/>
      <c r="AD100" s="83"/>
      <c r="AE100" s="111">
        <v>40.561399999999999</v>
      </c>
      <c r="AF100" s="112">
        <v>45.312600000000003</v>
      </c>
      <c r="AG100" s="120">
        <v>46.558100000000003</v>
      </c>
      <c r="AI100" s="141"/>
      <c r="AJ100" s="141"/>
      <c r="AK100" s="141"/>
      <c r="AL100" s="141"/>
    </row>
    <row r="101" spans="1:38" s="21" customFormat="1" ht="15" customHeight="1" x14ac:dyDescent="0.2">
      <c r="A101" s="55"/>
      <c r="B101" s="36"/>
      <c r="C101" s="19">
        <v>32</v>
      </c>
      <c r="D101" s="24"/>
      <c r="E101" s="24"/>
      <c r="F101" s="24"/>
      <c r="G101" s="24"/>
      <c r="H101" s="101"/>
      <c r="I101" s="102"/>
      <c r="J101" s="85" t="e">
        <f t="shared" ca="1" si="2"/>
        <v>#NAME?</v>
      </c>
      <c r="K101" s="19"/>
      <c r="L101" s="133"/>
      <c r="M101" s="134"/>
      <c r="N101" s="134"/>
      <c r="O101" s="134"/>
      <c r="P101" s="112"/>
      <c r="Q101" s="120"/>
      <c r="R101" s="85" t="e">
        <f t="shared" ca="1" si="3"/>
        <v>#NAME?</v>
      </c>
      <c r="S101" s="83"/>
      <c r="T101" s="90"/>
      <c r="U101" s="91"/>
      <c r="V101" s="91"/>
      <c r="W101" s="91"/>
      <c r="X101" s="91"/>
      <c r="Y101" s="91"/>
      <c r="Z101" s="19"/>
      <c r="AA101" s="24"/>
      <c r="AB101" s="24"/>
      <c r="AC101" s="24"/>
      <c r="AD101" s="83"/>
      <c r="AE101" s="111">
        <v>37.366700000000002</v>
      </c>
      <c r="AF101" s="112">
        <v>43.5124</v>
      </c>
      <c r="AG101" s="120">
        <v>44.5197</v>
      </c>
      <c r="AI101" s="141"/>
      <c r="AJ101" s="141"/>
      <c r="AK101" s="141"/>
      <c r="AL101" s="141"/>
    </row>
    <row r="102" spans="1:38" s="21" customFormat="1" ht="15" customHeight="1" x14ac:dyDescent="0.2">
      <c r="A102" s="55"/>
      <c r="B102" s="36"/>
      <c r="C102" s="60">
        <v>37</v>
      </c>
      <c r="D102" s="25"/>
      <c r="E102" s="25"/>
      <c r="F102" s="25"/>
      <c r="G102" s="25"/>
      <c r="H102" s="103"/>
      <c r="I102" s="104"/>
      <c r="J102" s="86" t="e">
        <f t="shared" ca="1" si="2"/>
        <v>#NAME?</v>
      </c>
      <c r="K102" s="19"/>
      <c r="L102" s="135"/>
      <c r="M102" s="136"/>
      <c r="N102" s="136"/>
      <c r="O102" s="136"/>
      <c r="P102" s="114"/>
      <c r="Q102" s="121"/>
      <c r="R102" s="86" t="e">
        <f t="shared" ca="1" si="3"/>
        <v>#NAME?</v>
      </c>
      <c r="S102" s="83"/>
      <c r="T102" s="92"/>
      <c r="U102" s="93"/>
      <c r="V102" s="93"/>
      <c r="W102" s="93"/>
      <c r="X102" s="93"/>
      <c r="Y102" s="93"/>
      <c r="Z102" s="19"/>
      <c r="AA102" s="25"/>
      <c r="AB102" s="25"/>
      <c r="AC102" s="25"/>
      <c r="AD102" s="83"/>
      <c r="AE102" s="113">
        <v>34.244500000000002</v>
      </c>
      <c r="AF102" s="114">
        <v>41.763500000000001</v>
      </c>
      <c r="AG102" s="121">
        <v>42.241599999999998</v>
      </c>
      <c r="AI102" s="141"/>
      <c r="AJ102" s="141"/>
      <c r="AK102" s="141"/>
      <c r="AL102" s="141"/>
    </row>
    <row r="103" spans="1:38" s="21" customFormat="1" ht="15" customHeight="1" x14ac:dyDescent="0.2">
      <c r="A103" s="55"/>
      <c r="B103" s="37" t="s">
        <v>33</v>
      </c>
      <c r="C103" s="19">
        <v>22</v>
      </c>
      <c r="D103" s="24"/>
      <c r="E103" s="24"/>
      <c r="F103" s="24"/>
      <c r="G103" s="24"/>
      <c r="H103" s="101"/>
      <c r="I103" s="102"/>
      <c r="J103" s="85" t="e">
        <f t="shared" ca="1" si="2"/>
        <v>#NAME?</v>
      </c>
      <c r="K103" s="19"/>
      <c r="L103" s="133"/>
      <c r="M103" s="134"/>
      <c r="N103" s="134"/>
      <c r="O103" s="134"/>
      <c r="P103" s="112"/>
      <c r="Q103" s="120"/>
      <c r="R103" s="85" t="e">
        <f t="shared" ca="1" si="3"/>
        <v>#NAME?</v>
      </c>
      <c r="S103" s="83"/>
      <c r="T103" s="90" t="e">
        <f ca="1">bdrate(D103:D106,E103:E106,L103:L106,M103:M106)</f>
        <v>#NAME?</v>
      </c>
      <c r="U103" s="91" t="e">
        <f ca="1">bdrate(D103:D106,F103:F106,L103:L106,N103:N106)</f>
        <v>#NAME?</v>
      </c>
      <c r="V103" s="91" t="e">
        <f ca="1">bdrate(D103:D106,G103:G106,L103:L106,O103:O106)</f>
        <v>#NAME?</v>
      </c>
      <c r="W103" s="91" t="e">
        <f ca="1">bdrateOld(D103:D106,E103:E106,L103:L106,M103:M106)</f>
        <v>#NAME?</v>
      </c>
      <c r="X103" s="91" t="e">
        <f ca="1">bdrateOld(D103:D106,F103:F106,L103:L106,N103:N106)</f>
        <v>#NAME?</v>
      </c>
      <c r="Y103" s="91" t="e">
        <f ca="1">bdrateOld(D103:D106,G103:G106,L103:L106,O103:O106)</f>
        <v>#NAME?</v>
      </c>
      <c r="Z103" s="19"/>
      <c r="AA103" s="24"/>
      <c r="AB103" s="24"/>
      <c r="AC103" s="24"/>
      <c r="AD103" s="83"/>
      <c r="AE103" s="111">
        <v>42.9985</v>
      </c>
      <c r="AF103" s="112">
        <v>40.519500000000001</v>
      </c>
      <c r="AG103" s="120">
        <v>42.9238</v>
      </c>
      <c r="AI103" s="141"/>
      <c r="AJ103" s="141"/>
      <c r="AK103" s="141"/>
      <c r="AL103" s="141"/>
    </row>
    <row r="104" spans="1:38" s="21" customFormat="1" ht="15" customHeight="1" x14ac:dyDescent="0.2">
      <c r="A104" s="55"/>
      <c r="B104" s="36"/>
      <c r="C104" s="19">
        <v>27</v>
      </c>
      <c r="D104" s="24"/>
      <c r="E104" s="24"/>
      <c r="F104" s="24"/>
      <c r="G104" s="24"/>
      <c r="H104" s="101"/>
      <c r="I104" s="102"/>
      <c r="J104" s="85" t="e">
        <f t="shared" ca="1" si="2"/>
        <v>#NAME?</v>
      </c>
      <c r="K104" s="19"/>
      <c r="L104" s="133"/>
      <c r="M104" s="134"/>
      <c r="N104" s="134"/>
      <c r="O104" s="134"/>
      <c r="P104" s="112"/>
      <c r="Q104" s="120"/>
      <c r="R104" s="85" t="e">
        <f t="shared" ca="1" si="3"/>
        <v>#NAME?</v>
      </c>
      <c r="S104" s="83"/>
      <c r="T104" s="90"/>
      <c r="U104" s="91"/>
      <c r="V104" s="91"/>
      <c r="W104" s="91"/>
      <c r="X104" s="91"/>
      <c r="Y104" s="91"/>
      <c r="Z104" s="19"/>
      <c r="AA104" s="24"/>
      <c r="AB104" s="24"/>
      <c r="AC104" s="24"/>
      <c r="AD104" s="83"/>
      <c r="AE104" s="111">
        <v>41.650599999999997</v>
      </c>
      <c r="AF104" s="112">
        <v>37.881300000000003</v>
      </c>
      <c r="AG104" s="120">
        <v>42.046100000000003</v>
      </c>
      <c r="AI104" s="141"/>
      <c r="AJ104" s="141"/>
      <c r="AK104" s="141"/>
      <c r="AL104" s="141"/>
    </row>
    <row r="105" spans="1:38" s="21" customFormat="1" ht="15" customHeight="1" x14ac:dyDescent="0.2">
      <c r="A105" s="55"/>
      <c r="B105" s="36"/>
      <c r="C105" s="19">
        <v>32</v>
      </c>
      <c r="D105" s="24"/>
      <c r="E105" s="24"/>
      <c r="F105" s="24"/>
      <c r="G105" s="24"/>
      <c r="H105" s="101"/>
      <c r="I105" s="102"/>
      <c r="J105" s="85" t="e">
        <f t="shared" ca="1" si="2"/>
        <v>#NAME?</v>
      </c>
      <c r="K105" s="19"/>
      <c r="L105" s="133"/>
      <c r="M105" s="134"/>
      <c r="N105" s="134"/>
      <c r="O105" s="134"/>
      <c r="P105" s="112"/>
      <c r="Q105" s="120"/>
      <c r="R105" s="85" t="e">
        <f t="shared" ca="1" si="3"/>
        <v>#NAME?</v>
      </c>
      <c r="S105" s="83"/>
      <c r="T105" s="90"/>
      <c r="U105" s="91"/>
      <c r="V105" s="91"/>
      <c r="W105" s="91"/>
      <c r="X105" s="91"/>
      <c r="Y105" s="91"/>
      <c r="Z105" s="19"/>
      <c r="AA105" s="24"/>
      <c r="AB105" s="24"/>
      <c r="AC105" s="24"/>
      <c r="AD105" s="83"/>
      <c r="AE105" s="111">
        <v>39.817300000000003</v>
      </c>
      <c r="AF105" s="112">
        <v>37.351799999999997</v>
      </c>
      <c r="AG105" s="120">
        <v>40.950099999999999</v>
      </c>
      <c r="AI105" s="141"/>
      <c r="AJ105" s="141"/>
      <c r="AK105" s="141"/>
      <c r="AL105" s="141"/>
    </row>
    <row r="106" spans="1:38" s="21" customFormat="1" ht="15" customHeight="1" thickBot="1" x14ac:dyDescent="0.25">
      <c r="A106" s="126"/>
      <c r="B106" s="42"/>
      <c r="C106" s="20">
        <v>37</v>
      </c>
      <c r="D106" s="33"/>
      <c r="E106" s="33"/>
      <c r="F106" s="33"/>
      <c r="G106" s="33"/>
      <c r="H106" s="107"/>
      <c r="I106" s="108"/>
      <c r="J106" s="85" t="e">
        <f t="shared" ca="1" si="2"/>
        <v>#NAME?</v>
      </c>
      <c r="K106" s="19"/>
      <c r="L106" s="139"/>
      <c r="M106" s="140"/>
      <c r="N106" s="140"/>
      <c r="O106" s="140"/>
      <c r="P106" s="118"/>
      <c r="Q106" s="124"/>
      <c r="R106" s="85" t="e">
        <f t="shared" ca="1" si="3"/>
        <v>#NAME?</v>
      </c>
      <c r="S106" s="83"/>
      <c r="T106" s="96"/>
      <c r="U106" s="97"/>
      <c r="V106" s="97"/>
      <c r="W106" s="97"/>
      <c r="X106" s="97"/>
      <c r="Y106" s="97"/>
      <c r="Z106" s="19"/>
      <c r="AA106" s="33"/>
      <c r="AB106" s="33"/>
      <c r="AC106" s="33"/>
      <c r="AD106" s="83"/>
      <c r="AE106" s="117">
        <v>37.418199999999999</v>
      </c>
      <c r="AF106" s="118">
        <v>36.770800000000001</v>
      </c>
      <c r="AG106" s="124">
        <v>39.770099999999999</v>
      </c>
      <c r="AI106" s="141"/>
      <c r="AJ106" s="141"/>
      <c r="AK106" s="141"/>
      <c r="AL106" s="141"/>
    </row>
    <row r="107" spans="1:38" ht="15" customHeight="1" x14ac:dyDescent="0.2">
      <c r="A107" s="57"/>
      <c r="B107" s="5" t="str">
        <f>Summary!B4</f>
        <v>RGB, text &amp; graphics with motion, 1080p &amp; 720p</v>
      </c>
      <c r="C107" s="5"/>
      <c r="D107" s="6"/>
      <c r="E107" s="6"/>
      <c r="F107" s="6"/>
      <c r="G107" s="6"/>
      <c r="H107" s="6"/>
      <c r="I107" s="74" t="e">
        <f ca="1">geometricMean(I3:I30)</f>
        <v>#NAME?</v>
      </c>
      <c r="J107" s="69" t="e">
        <f ca="1">geometricMean(J3:J30)</f>
        <v>#NAME?</v>
      </c>
      <c r="K107" s="6"/>
      <c r="L107" s="6"/>
      <c r="M107" s="6"/>
      <c r="N107" s="6"/>
      <c r="O107" s="6"/>
      <c r="P107" s="6"/>
      <c r="Q107" s="74" t="e">
        <f ca="1">geometricMean(Q3:Q30)</f>
        <v>#NAME?</v>
      </c>
      <c r="R107" s="69" t="e">
        <f ca="1">geometricMean(R3:R30)</f>
        <v>#NAME?</v>
      </c>
      <c r="S107" s="59"/>
      <c r="T107" s="90" t="e">
        <f t="shared" ref="T107:Y107" ca="1" si="4">AVERAGE(T3:T30)</f>
        <v>#NAME?</v>
      </c>
      <c r="U107" s="90" t="e">
        <f t="shared" ca="1" si="4"/>
        <v>#NAME?</v>
      </c>
      <c r="V107" s="90" t="e">
        <f t="shared" ca="1" si="4"/>
        <v>#NAME?</v>
      </c>
      <c r="W107" s="90" t="e">
        <f t="shared" ca="1" si="4"/>
        <v>#NAME?</v>
      </c>
      <c r="X107" s="90" t="e">
        <f t="shared" ca="1" si="4"/>
        <v>#NAME?</v>
      </c>
      <c r="Y107" s="90" t="e">
        <f t="shared" ca="1" si="4"/>
        <v>#NAME?</v>
      </c>
      <c r="Z107" s="6"/>
      <c r="AA107" s="6"/>
      <c r="AB107" s="6"/>
      <c r="AC107" s="6"/>
      <c r="AD107" s="59"/>
      <c r="AE107" s="6"/>
      <c r="AF107" s="6"/>
      <c r="AG107" s="6"/>
    </row>
    <row r="108" spans="1:38" ht="15" customHeight="1" x14ac:dyDescent="0.2">
      <c r="A108" s="57"/>
      <c r="B108" s="5" t="str">
        <f>Summary!B5</f>
        <v>RGB, mixed content, 1440p &amp; 1080p</v>
      </c>
      <c r="C108" s="5"/>
      <c r="D108" s="6"/>
      <c r="E108" s="6"/>
      <c r="F108" s="6"/>
      <c r="G108" s="6"/>
      <c r="H108" s="6"/>
      <c r="I108" s="75" t="e">
        <f ca="1">geometricMean(I31:I42)</f>
        <v>#NAME?</v>
      </c>
      <c r="J108" s="67" t="e">
        <f ca="1">geometricMean(J31:J42)</f>
        <v>#NAME?</v>
      </c>
      <c r="K108" s="6"/>
      <c r="L108" s="6"/>
      <c r="M108" s="6"/>
      <c r="N108" s="6"/>
      <c r="O108" s="6"/>
      <c r="P108" s="6"/>
      <c r="Q108" s="75" t="e">
        <f ca="1">geometricMean(Q31:Q42)</f>
        <v>#NAME?</v>
      </c>
      <c r="R108" s="67" t="e">
        <f ca="1">geometricMean(R31:R42)</f>
        <v>#NAME?</v>
      </c>
      <c r="S108" s="21"/>
      <c r="T108" s="90" t="e">
        <f t="shared" ref="T108:Y108" ca="1" si="5">AVERAGE(T31:T42)</f>
        <v>#NAME?</v>
      </c>
      <c r="U108" s="90" t="e">
        <f t="shared" ca="1" si="5"/>
        <v>#NAME?</v>
      </c>
      <c r="V108" s="90" t="e">
        <f t="shared" ca="1" si="5"/>
        <v>#NAME?</v>
      </c>
      <c r="W108" s="90" t="e">
        <f t="shared" ca="1" si="5"/>
        <v>#NAME?</v>
      </c>
      <c r="X108" s="90" t="e">
        <f t="shared" ca="1" si="5"/>
        <v>#NAME?</v>
      </c>
      <c r="Y108" s="90" t="e">
        <f t="shared" ca="1" si="5"/>
        <v>#NAME?</v>
      </c>
      <c r="Z108" s="6"/>
      <c r="AA108" s="6"/>
      <c r="AB108" s="6"/>
      <c r="AC108" s="6"/>
      <c r="AE108" s="6"/>
      <c r="AF108" s="6"/>
      <c r="AG108" s="6"/>
    </row>
    <row r="109" spans="1:38" ht="15" customHeight="1" x14ac:dyDescent="0.2">
      <c r="A109" s="58"/>
      <c r="B109" s="5" t="str">
        <f>Summary!B6</f>
        <v>RGB, Animation, 720p</v>
      </c>
      <c r="C109" s="5"/>
      <c r="D109" s="6"/>
      <c r="E109" s="6"/>
      <c r="F109" s="6"/>
      <c r="G109" s="6"/>
      <c r="H109" s="6"/>
      <c r="I109" s="75" t="e">
        <f ca="1">geometricMean(I43:I46)</f>
        <v>#NAME?</v>
      </c>
      <c r="J109" s="67" t="e">
        <f ca="1">geometricMean(J43:J46)</f>
        <v>#NAME?</v>
      </c>
      <c r="K109" s="6"/>
      <c r="L109" s="6"/>
      <c r="M109" s="6"/>
      <c r="N109" s="6"/>
      <c r="O109" s="6"/>
      <c r="P109" s="6"/>
      <c r="Q109" s="75" t="e">
        <f ca="1">geometricMean(Q43:Q46)</f>
        <v>#NAME?</v>
      </c>
      <c r="R109" s="67" t="e">
        <f ca="1">geometricMean(R43:R46)</f>
        <v>#NAME?</v>
      </c>
      <c r="S109" s="21"/>
      <c r="T109" s="90" t="e">
        <f t="shared" ref="T109:Y109" ca="1" si="6">AVERAGE(T43:T46)</f>
        <v>#NAME?</v>
      </c>
      <c r="U109" s="90" t="e">
        <f t="shared" ca="1" si="6"/>
        <v>#NAME?</v>
      </c>
      <c r="V109" s="90" t="e">
        <f t="shared" ca="1" si="6"/>
        <v>#NAME?</v>
      </c>
      <c r="W109" s="90" t="e">
        <f t="shared" ca="1" si="6"/>
        <v>#NAME?</v>
      </c>
      <c r="X109" s="90" t="e">
        <f t="shared" ca="1" si="6"/>
        <v>#NAME?</v>
      </c>
      <c r="Y109" s="90" t="e">
        <f t="shared" ca="1" si="6"/>
        <v>#NAME?</v>
      </c>
      <c r="Z109" s="6"/>
      <c r="AA109" s="6"/>
      <c r="AB109" s="6"/>
      <c r="AC109" s="6"/>
      <c r="AE109" s="6"/>
      <c r="AF109" s="6"/>
      <c r="AG109" s="6"/>
    </row>
    <row r="110" spans="1:38" s="21" customFormat="1" ht="15" customHeight="1" x14ac:dyDescent="0.2">
      <c r="A110" s="58"/>
      <c r="B110" s="5" t="str">
        <f>Summary!B7</f>
        <v>RGB, camera captured, 1080p</v>
      </c>
      <c r="C110" s="5"/>
      <c r="D110" s="6"/>
      <c r="E110" s="6"/>
      <c r="F110" s="6"/>
      <c r="G110" s="6"/>
      <c r="H110" s="6"/>
      <c r="I110" s="75" t="e">
        <f ca="1">geometricMean(I47:I54)</f>
        <v>#NAME?</v>
      </c>
      <c r="J110" s="67" t="e">
        <f ca="1">geometricMean(J44:J47)</f>
        <v>#NAME?</v>
      </c>
      <c r="K110" s="6"/>
      <c r="L110" s="6"/>
      <c r="M110" s="6"/>
      <c r="N110" s="6"/>
      <c r="O110" s="6"/>
      <c r="P110" s="6"/>
      <c r="Q110" s="75" t="e">
        <f ca="1">geometricMean(Q47:Q54)</f>
        <v>#NAME?</v>
      </c>
      <c r="R110" s="67" t="e">
        <f ca="1">geometricMean(R44:R47)</f>
        <v>#NAME?</v>
      </c>
      <c r="T110" s="90" t="e">
        <f t="shared" ref="T110:Y110" ca="1" si="7">AVERAGE(T47:T54)</f>
        <v>#NAME?</v>
      </c>
      <c r="U110" s="90" t="e">
        <f t="shared" ca="1" si="7"/>
        <v>#NAME?</v>
      </c>
      <c r="V110" s="90" t="e">
        <f t="shared" ca="1" si="7"/>
        <v>#NAME?</v>
      </c>
      <c r="W110" s="90" t="e">
        <f t="shared" ca="1" si="7"/>
        <v>#NAME?</v>
      </c>
      <c r="X110" s="90" t="e">
        <f t="shared" ca="1" si="7"/>
        <v>#NAME?</v>
      </c>
      <c r="Y110" s="90" t="e">
        <f t="shared" ca="1" si="7"/>
        <v>#NAME?</v>
      </c>
      <c r="Z110" s="6"/>
      <c r="AA110" s="6"/>
      <c r="AB110" s="6"/>
      <c r="AC110" s="6"/>
      <c r="AE110" s="6"/>
      <c r="AF110" s="6"/>
      <c r="AG110" s="6"/>
    </row>
    <row r="111" spans="1:38" ht="15" customHeight="1" x14ac:dyDescent="0.2">
      <c r="A111" s="58"/>
      <c r="B111" s="5" t="str">
        <f>Summary!B8</f>
        <v>YUV, text &amp; graphics with motion, 1080p &amp; 720p</v>
      </c>
      <c r="C111" s="5"/>
      <c r="D111" s="6"/>
      <c r="E111" s="6"/>
      <c r="F111" s="6"/>
      <c r="G111" s="6"/>
      <c r="H111" s="6"/>
      <c r="I111" s="75" t="e">
        <f ca="1">geometricMean(I55:I82)</f>
        <v>#NAME?</v>
      </c>
      <c r="J111" s="67" t="e">
        <f ca="1">geometricMean(J55:J82)</f>
        <v>#NAME?</v>
      </c>
      <c r="K111" s="6"/>
      <c r="L111" s="6"/>
      <c r="M111" s="6"/>
      <c r="N111" s="6"/>
      <c r="O111" s="6"/>
      <c r="P111" s="6"/>
      <c r="Q111" s="75" t="e">
        <f ca="1">geometricMean(Q55:Q82)</f>
        <v>#NAME?</v>
      </c>
      <c r="R111" s="67" t="e">
        <f ca="1">geometricMean(R55:R82)</f>
        <v>#NAME?</v>
      </c>
      <c r="S111" s="21"/>
      <c r="T111" s="90" t="e">
        <f t="shared" ref="T111:Y111" ca="1" si="8">AVERAGE(T55:T82)</f>
        <v>#NAME?</v>
      </c>
      <c r="U111" s="90" t="e">
        <f t="shared" ca="1" si="8"/>
        <v>#NAME?</v>
      </c>
      <c r="V111" s="90" t="e">
        <f t="shared" ca="1" si="8"/>
        <v>#NAME?</v>
      </c>
      <c r="W111" s="90" t="e">
        <f t="shared" ca="1" si="8"/>
        <v>#NAME?</v>
      </c>
      <c r="X111" s="90" t="e">
        <f t="shared" ca="1" si="8"/>
        <v>#NAME?</v>
      </c>
      <c r="Y111" s="90" t="e">
        <f t="shared" ca="1" si="8"/>
        <v>#NAME?</v>
      </c>
      <c r="Z111" s="6"/>
      <c r="AA111" s="6"/>
      <c r="AB111" s="6"/>
      <c r="AC111" s="6"/>
      <c r="AE111" s="6"/>
      <c r="AF111" s="6"/>
      <c r="AG111" s="6"/>
    </row>
    <row r="112" spans="1:38" ht="15" customHeight="1" x14ac:dyDescent="0.2">
      <c r="A112" s="58"/>
      <c r="B112" s="5" t="str">
        <f>Summary!B9</f>
        <v>YUV, mixed content, 1440p &amp; 1080p</v>
      </c>
      <c r="C112" s="5"/>
      <c r="D112" s="6"/>
      <c r="E112" s="6"/>
      <c r="F112" s="6"/>
      <c r="G112" s="6"/>
      <c r="H112" s="6"/>
      <c r="I112" s="75" t="e">
        <f ca="1">geometricMean(I83:I94)</f>
        <v>#NAME?</v>
      </c>
      <c r="J112" s="67" t="e">
        <f ca="1">geometricMean(J83:J94)</f>
        <v>#NAME?</v>
      </c>
      <c r="K112" s="6"/>
      <c r="L112" s="6"/>
      <c r="M112" s="6"/>
      <c r="N112" s="6"/>
      <c r="O112" s="6"/>
      <c r="P112" s="6"/>
      <c r="Q112" s="75" t="e">
        <f ca="1">geometricMean(Q83:Q94)</f>
        <v>#NAME?</v>
      </c>
      <c r="R112" s="67" t="e">
        <f ca="1">geometricMean(R83:R94)</f>
        <v>#NAME?</v>
      </c>
      <c r="S112" s="21"/>
      <c r="T112" s="90" t="e">
        <f t="shared" ref="T112:Y112" ca="1" si="9">AVERAGE(T83:T94)</f>
        <v>#NAME?</v>
      </c>
      <c r="U112" s="90" t="e">
        <f t="shared" ca="1" si="9"/>
        <v>#NAME?</v>
      </c>
      <c r="V112" s="90" t="e">
        <f t="shared" ca="1" si="9"/>
        <v>#NAME?</v>
      </c>
      <c r="W112" s="90" t="e">
        <f t="shared" ca="1" si="9"/>
        <v>#NAME?</v>
      </c>
      <c r="X112" s="90" t="e">
        <f t="shared" ca="1" si="9"/>
        <v>#NAME?</v>
      </c>
      <c r="Y112" s="90" t="e">
        <f t="shared" ca="1" si="9"/>
        <v>#NAME?</v>
      </c>
      <c r="Z112" s="6"/>
      <c r="AA112" s="6"/>
      <c r="AB112" s="6"/>
      <c r="AC112" s="6"/>
      <c r="AE112" s="6"/>
      <c r="AF112" s="6"/>
      <c r="AG112" s="6"/>
    </row>
    <row r="113" spans="1:33" s="6" customFormat="1" ht="15" customHeight="1" x14ac:dyDescent="0.2">
      <c r="A113" s="58"/>
      <c r="B113" s="5" t="str">
        <f>Summary!B10</f>
        <v>YUV, Animation, 720p</v>
      </c>
      <c r="C113" s="5"/>
      <c r="I113" s="75" t="e">
        <f ca="1">geometricMean(I95:I98)</f>
        <v>#NAME?</v>
      </c>
      <c r="J113" s="67" t="e">
        <f ca="1">geometricMean(J95:J98)</f>
        <v>#NAME?</v>
      </c>
      <c r="Q113" s="75" t="e">
        <f ca="1">geometricMean(Q95:Q98)</f>
        <v>#NAME?</v>
      </c>
      <c r="R113" s="67" t="e">
        <f ca="1">geometricMean(R95:R98)</f>
        <v>#NAME?</v>
      </c>
      <c r="T113" s="90" t="e">
        <f t="shared" ref="T113:Y113" ca="1" si="10">AVERAGE(T95:T98)</f>
        <v>#NAME?</v>
      </c>
      <c r="U113" s="90" t="e">
        <f t="shared" ca="1" si="10"/>
        <v>#NAME?</v>
      </c>
      <c r="V113" s="90" t="e">
        <f t="shared" ca="1" si="10"/>
        <v>#NAME?</v>
      </c>
      <c r="W113" s="90" t="e">
        <f t="shared" ca="1" si="10"/>
        <v>#NAME?</v>
      </c>
      <c r="X113" s="90" t="e">
        <f t="shared" ca="1" si="10"/>
        <v>#NAME?</v>
      </c>
      <c r="Y113" s="90" t="e">
        <f t="shared" ca="1" si="10"/>
        <v>#NAME?</v>
      </c>
    </row>
    <row r="114" spans="1:33" s="21" customFormat="1" ht="15" customHeight="1" thickBot="1" x14ac:dyDescent="0.25">
      <c r="A114" s="58"/>
      <c r="B114" s="5" t="str">
        <f>Summary!B11</f>
        <v>YUV, camera captured, 1080p</v>
      </c>
      <c r="C114" s="8"/>
      <c r="D114" s="9"/>
      <c r="E114" s="9"/>
      <c r="F114" s="9"/>
      <c r="G114" s="9"/>
      <c r="H114" s="9"/>
      <c r="I114" s="76" t="e">
        <f ca="1">geometricMean(I99:I106)</f>
        <v>#NAME?</v>
      </c>
      <c r="J114" s="68" t="e">
        <f ca="1">geometricMean(J96:J99)</f>
        <v>#NAME?</v>
      </c>
      <c r="K114" s="9"/>
      <c r="L114" s="9"/>
      <c r="M114" s="9"/>
      <c r="N114" s="9"/>
      <c r="O114" s="9"/>
      <c r="P114" s="9"/>
      <c r="Q114" s="76" t="e">
        <f ca="1">geometricMean(Q99:Q106)</f>
        <v>#NAME?</v>
      </c>
      <c r="R114" s="68" t="e">
        <f ca="1">geometricMean(R96:R99)</f>
        <v>#NAME?</v>
      </c>
      <c r="T114" s="90" t="e">
        <f t="shared" ref="T114:Y114" ca="1" si="11">AVERAGE(T99:T106)</f>
        <v>#NAME?</v>
      </c>
      <c r="U114" s="90" t="e">
        <f t="shared" ca="1" si="11"/>
        <v>#NAME?</v>
      </c>
      <c r="V114" s="90" t="e">
        <f t="shared" ca="1" si="11"/>
        <v>#NAME?</v>
      </c>
      <c r="W114" s="90" t="e">
        <f t="shared" ca="1" si="11"/>
        <v>#NAME?</v>
      </c>
      <c r="X114" s="90" t="e">
        <f t="shared" ca="1" si="11"/>
        <v>#NAME?</v>
      </c>
      <c r="Y114" s="90" t="e">
        <f t="shared" ca="1" si="11"/>
        <v>#NAME?</v>
      </c>
      <c r="Z114" s="6"/>
      <c r="AA114" s="6"/>
      <c r="AB114" s="6"/>
      <c r="AC114" s="6"/>
      <c r="AD114" s="6"/>
      <c r="AE114" s="6"/>
      <c r="AF114" s="6"/>
      <c r="AG114" s="6"/>
    </row>
    <row r="115" spans="1:33" ht="15" customHeight="1" thickBot="1" x14ac:dyDescent="0.25">
      <c r="A115" s="57"/>
      <c r="B115" s="15" t="s">
        <v>1</v>
      </c>
      <c r="C115" s="5"/>
      <c r="D115" s="6"/>
      <c r="E115" s="6"/>
      <c r="F115" s="6"/>
      <c r="G115" s="6"/>
      <c r="H115" s="6"/>
      <c r="I115" s="6"/>
      <c r="J115" s="19"/>
      <c r="K115" s="6"/>
      <c r="L115" s="6"/>
      <c r="M115" s="6"/>
      <c r="N115" s="6"/>
      <c r="O115" s="6"/>
      <c r="P115" s="6"/>
      <c r="Q115" s="6"/>
      <c r="R115" s="19"/>
      <c r="S115" s="21"/>
      <c r="T115" s="96" t="e">
        <f t="shared" ref="T115:Y115" ca="1" si="12">AVERAGE(T3:T106)</f>
        <v>#NAME?</v>
      </c>
      <c r="U115" s="96" t="e">
        <f t="shared" ca="1" si="12"/>
        <v>#NAME?</v>
      </c>
      <c r="V115" s="96" t="e">
        <f t="shared" ca="1" si="12"/>
        <v>#NAME?</v>
      </c>
      <c r="W115" s="96" t="e">
        <f t="shared" ca="1" si="12"/>
        <v>#NAME?</v>
      </c>
      <c r="X115" s="96" t="e">
        <f t="shared" ca="1" si="12"/>
        <v>#NAME?</v>
      </c>
      <c r="Y115" s="96" t="e">
        <f t="shared" ca="1" si="12"/>
        <v>#NAME?</v>
      </c>
      <c r="Z115" s="6"/>
      <c r="AA115" s="6"/>
      <c r="AB115" s="6"/>
      <c r="AC115" s="6"/>
      <c r="AD115" s="6"/>
      <c r="AE115" s="6"/>
      <c r="AF115" s="6"/>
      <c r="AG115" s="6"/>
    </row>
    <row r="116" spans="1:33" ht="15" customHeight="1" x14ac:dyDescent="0.2">
      <c r="A116" s="57"/>
      <c r="B116" s="19" t="s">
        <v>2</v>
      </c>
      <c r="C116" s="16"/>
      <c r="D116" s="27"/>
      <c r="E116" s="27"/>
      <c r="F116" s="27"/>
      <c r="G116" s="27"/>
      <c r="H116" s="27"/>
      <c r="I116" s="74" t="e">
        <f ca="1">geometricMean(I3:I106)</f>
        <v>#NAME?</v>
      </c>
      <c r="J116" s="69" t="e">
        <f ca="1">geometricMean(J3:J106)</f>
        <v>#NAME?</v>
      </c>
      <c r="K116" s="27"/>
      <c r="L116" s="27"/>
      <c r="M116" s="27"/>
      <c r="N116" s="27"/>
      <c r="O116" s="27"/>
      <c r="P116" s="27"/>
      <c r="Q116" s="74" t="e">
        <f ca="1">geometricMean(Q3:Q106)</f>
        <v>#NAME?</v>
      </c>
      <c r="R116" s="69" t="e">
        <f ca="1">geometricMean(R3:R106)</f>
        <v>#NAME?</v>
      </c>
      <c r="S116" s="21"/>
      <c r="T116" s="21"/>
      <c r="U116" s="21"/>
      <c r="V116" s="21"/>
      <c r="W116" s="21"/>
      <c r="X116" s="21"/>
      <c r="Y116" s="21"/>
      <c r="Z116" s="6"/>
      <c r="AA116" s="6"/>
      <c r="AB116" s="6"/>
      <c r="AC116" s="6"/>
      <c r="AD116" s="6"/>
      <c r="AE116" s="6"/>
      <c r="AF116" s="6"/>
      <c r="AG116" s="6"/>
    </row>
    <row r="117" spans="1:33" ht="15" customHeight="1" thickBot="1" x14ac:dyDescent="0.25">
      <c r="A117" s="57"/>
      <c r="B117" s="20" t="s">
        <v>3</v>
      </c>
      <c r="C117" s="8"/>
      <c r="D117" s="9"/>
      <c r="E117" s="9"/>
      <c r="F117" s="9"/>
      <c r="G117" s="9"/>
      <c r="H117" s="9"/>
      <c r="I117" s="76" t="e">
        <f ca="1">secToHours(macroSum(I3:I106))</f>
        <v>#NAME?</v>
      </c>
      <c r="J117" s="68" t="e">
        <f ca="1">SUM(J3:J106)</f>
        <v>#NAME?</v>
      </c>
      <c r="K117" s="9"/>
      <c r="L117" s="9"/>
      <c r="M117" s="9"/>
      <c r="N117" s="9"/>
      <c r="O117" s="9"/>
      <c r="P117" s="9"/>
      <c r="Q117" s="76" t="e">
        <f ca="1">secToHours(macroSum(Q3:Q106))</f>
        <v>#NAME?</v>
      </c>
      <c r="R117" s="68" t="e">
        <f ca="1">SUM(R3:R106)</f>
        <v>#NAME?</v>
      </c>
      <c r="S117" s="21"/>
      <c r="T117" s="21"/>
      <c r="U117" s="21"/>
      <c r="V117" s="21"/>
      <c r="W117" s="21"/>
      <c r="X117" s="21"/>
      <c r="Y117" s="21"/>
      <c r="Z117" s="6"/>
      <c r="AA117" s="6"/>
      <c r="AB117" s="6"/>
      <c r="AC117" s="6"/>
      <c r="AD117" s="6"/>
      <c r="AE117" s="6"/>
      <c r="AF117" s="6"/>
      <c r="AG117" s="6"/>
    </row>
    <row r="118" spans="1:33" ht="15" customHeight="1" x14ac:dyDescent="0.2">
      <c r="A118" s="52"/>
      <c r="B118" s="21"/>
      <c r="C118" s="21"/>
      <c r="D118" s="21"/>
      <c r="E118" s="21"/>
      <c r="F118" s="21"/>
      <c r="G118" s="21"/>
      <c r="H118" s="21"/>
      <c r="J118" s="21"/>
      <c r="K118" s="21"/>
      <c r="L118" s="21"/>
      <c r="M118" s="21"/>
      <c r="N118" s="21"/>
      <c r="O118" s="21"/>
      <c r="P118" s="21"/>
      <c r="Q118" s="21"/>
      <c r="S118" s="21"/>
      <c r="T118" s="21"/>
      <c r="U118" s="21"/>
      <c r="V118" s="21"/>
      <c r="W118" s="21"/>
      <c r="X118" s="21"/>
      <c r="Y118" s="21"/>
    </row>
    <row r="119" spans="1:33" ht="15" customHeight="1" x14ac:dyDescent="0.2">
      <c r="A119" s="52"/>
      <c r="B119" s="21"/>
      <c r="C119" s="21"/>
      <c r="D119" s="21"/>
      <c r="E119" s="21"/>
      <c r="F119" s="21"/>
      <c r="G119" s="21"/>
      <c r="H119" s="21"/>
      <c r="J119" s="21"/>
      <c r="K119" s="21"/>
      <c r="L119" s="21"/>
      <c r="M119" s="21"/>
      <c r="N119" s="21"/>
      <c r="O119" s="21"/>
      <c r="P119" s="21"/>
      <c r="Q119" s="21"/>
      <c r="S119" s="21"/>
      <c r="T119" s="21"/>
      <c r="U119" s="21"/>
      <c r="V119" s="21"/>
      <c r="W119" s="21"/>
      <c r="X119" s="21"/>
      <c r="Y119" s="21"/>
    </row>
    <row r="120" spans="1:33" ht="15" customHeight="1" x14ac:dyDescent="0.2">
      <c r="A120" s="52"/>
      <c r="B120" s="21"/>
      <c r="C120" s="155" t="s">
        <v>15</v>
      </c>
      <c r="D120" s="156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S120" s="21"/>
      <c r="T120" s="21"/>
      <c r="U120" s="21"/>
      <c r="V120" s="21"/>
      <c r="W120" s="21"/>
      <c r="X120" s="21"/>
      <c r="Y120" s="21"/>
    </row>
    <row r="121" spans="1:33" ht="15" customHeight="1" thickBot="1" x14ac:dyDescent="0.25">
      <c r="A121" s="52"/>
      <c r="B121" s="21"/>
      <c r="C121" s="62" t="s">
        <v>16</v>
      </c>
      <c r="D121" s="63" t="s">
        <v>17</v>
      </c>
      <c r="E121" s="21"/>
      <c r="F121" s="21"/>
      <c r="G121" s="21"/>
      <c r="H121" s="21"/>
      <c r="J121" s="21"/>
      <c r="K121" s="21"/>
      <c r="L121" s="21"/>
      <c r="M121" s="21"/>
      <c r="N121" s="21"/>
      <c r="O121" s="21"/>
      <c r="P121" s="21"/>
      <c r="Q121" s="21"/>
      <c r="S121" s="21"/>
      <c r="T121" s="21"/>
      <c r="U121" s="21"/>
      <c r="V121" s="21"/>
      <c r="W121" s="21"/>
      <c r="X121" s="21"/>
      <c r="Y121" s="21"/>
    </row>
    <row r="122" spans="1:33" ht="15" customHeight="1" x14ac:dyDescent="0.2">
      <c r="A122" s="52"/>
      <c r="B122" s="69" t="str">
        <f>Summary!B4</f>
        <v>RGB, text &amp; graphics with motion, 1080p &amp; 720p</v>
      </c>
      <c r="C122" s="70" t="e">
        <f t="shared" ref="C122:D127" ca="1" si="13">Q107/I107</f>
        <v>#NAME?</v>
      </c>
      <c r="D122" s="70" t="e">
        <f t="shared" ca="1" si="13"/>
        <v>#NAME?</v>
      </c>
      <c r="E122" s="21"/>
      <c r="F122" s="21"/>
      <c r="G122" s="21"/>
      <c r="H122" s="21"/>
      <c r="J122" s="21"/>
      <c r="K122" s="21"/>
      <c r="L122" s="21"/>
      <c r="M122" s="21"/>
      <c r="N122" s="21"/>
      <c r="O122" s="21"/>
      <c r="P122" s="21"/>
      <c r="Q122" s="21"/>
      <c r="S122" s="21"/>
      <c r="T122" s="21"/>
      <c r="U122" s="21"/>
      <c r="V122" s="21"/>
      <c r="W122" s="21"/>
      <c r="X122" s="21"/>
      <c r="Y122" s="21"/>
    </row>
    <row r="123" spans="1:33" ht="15" customHeight="1" x14ac:dyDescent="0.2">
      <c r="A123" s="52"/>
      <c r="B123" s="67" t="str">
        <f>Summary!B5</f>
        <v>RGB, mixed content, 1440p &amp; 1080p</v>
      </c>
      <c r="C123" s="65" t="e">
        <f t="shared" ca="1" si="13"/>
        <v>#NAME?</v>
      </c>
      <c r="D123" s="65" t="e">
        <f t="shared" ca="1" si="13"/>
        <v>#NAME?</v>
      </c>
      <c r="E123" s="21"/>
      <c r="F123" s="21"/>
      <c r="G123" s="21"/>
      <c r="H123" s="21"/>
      <c r="J123" s="21"/>
      <c r="K123" s="21"/>
      <c r="L123" s="21"/>
      <c r="M123" s="21"/>
      <c r="N123" s="21"/>
      <c r="O123" s="21"/>
      <c r="P123" s="21"/>
      <c r="Q123" s="21"/>
      <c r="S123" s="21"/>
      <c r="T123" s="21"/>
      <c r="U123" s="21"/>
      <c r="V123" s="21"/>
      <c r="W123" s="21"/>
      <c r="X123" s="21"/>
      <c r="Y123" s="21"/>
    </row>
    <row r="124" spans="1:33" ht="15" customHeight="1" x14ac:dyDescent="0.2">
      <c r="A124" s="52"/>
      <c r="B124" s="67" t="str">
        <f>Summary!B6</f>
        <v>RGB, Animation, 720p</v>
      </c>
      <c r="C124" s="65" t="e">
        <f t="shared" ca="1" si="13"/>
        <v>#NAME?</v>
      </c>
      <c r="D124" s="65" t="e">
        <f t="shared" ca="1" si="13"/>
        <v>#NAME?</v>
      </c>
      <c r="E124" s="21"/>
      <c r="F124" s="21"/>
      <c r="G124" s="21"/>
      <c r="H124" s="21"/>
      <c r="J124" s="21"/>
      <c r="K124" s="21"/>
      <c r="L124" s="21"/>
      <c r="M124" s="21"/>
      <c r="N124" s="21"/>
      <c r="O124" s="21"/>
      <c r="P124" s="21"/>
      <c r="Q124" s="21"/>
      <c r="S124" s="21"/>
      <c r="T124" s="21"/>
      <c r="U124" s="21"/>
      <c r="V124" s="21"/>
      <c r="W124" s="21"/>
      <c r="X124" s="21"/>
      <c r="Y124" s="21"/>
    </row>
    <row r="125" spans="1:33" s="21" customFormat="1" ht="15" customHeight="1" x14ac:dyDescent="0.2">
      <c r="A125" s="52"/>
      <c r="B125" s="67" t="str">
        <f>Summary!B7</f>
        <v>RGB, camera captured, 1080p</v>
      </c>
      <c r="C125" s="65" t="e">
        <f t="shared" ca="1" si="13"/>
        <v>#NAME?</v>
      </c>
      <c r="D125" s="65" t="e">
        <f t="shared" ca="1" si="13"/>
        <v>#NAME?</v>
      </c>
      <c r="I125" s="4"/>
    </row>
    <row r="126" spans="1:33" ht="15" customHeight="1" x14ac:dyDescent="0.2">
      <c r="A126" s="52"/>
      <c r="B126" s="67" t="str">
        <f>Summary!B8</f>
        <v>YUV, text &amp; graphics with motion, 1080p &amp; 720p</v>
      </c>
      <c r="C126" s="65" t="e">
        <f t="shared" ca="1" si="13"/>
        <v>#NAME?</v>
      </c>
      <c r="D126" s="65" t="e">
        <f t="shared" ca="1" si="13"/>
        <v>#NAME?</v>
      </c>
      <c r="E126" s="21"/>
      <c r="F126" s="21"/>
      <c r="G126" s="21"/>
      <c r="H126" s="21"/>
      <c r="J126" s="21"/>
      <c r="K126" s="21"/>
      <c r="L126" s="21"/>
      <c r="M126" s="21"/>
      <c r="N126" s="21"/>
      <c r="O126" s="21"/>
      <c r="P126" s="21"/>
      <c r="Q126" s="21"/>
      <c r="S126" s="21"/>
      <c r="T126" s="21"/>
      <c r="U126" s="21"/>
      <c r="V126" s="21"/>
      <c r="W126" s="21"/>
      <c r="X126" s="21"/>
      <c r="Y126" s="21"/>
    </row>
    <row r="127" spans="1:33" ht="15" customHeight="1" x14ac:dyDescent="0.2">
      <c r="A127" s="52"/>
      <c r="B127" s="67" t="str">
        <f>Summary!B9</f>
        <v>YUV, mixed content, 1440p &amp; 1080p</v>
      </c>
      <c r="C127" s="65" t="e">
        <f t="shared" ca="1" si="13"/>
        <v>#NAME?</v>
      </c>
      <c r="D127" s="65" t="e">
        <f t="shared" ca="1" si="13"/>
        <v>#NAME?</v>
      </c>
      <c r="E127" s="21"/>
      <c r="F127" s="21"/>
      <c r="G127" s="21"/>
      <c r="H127" s="21"/>
      <c r="J127" s="21"/>
      <c r="K127" s="21"/>
      <c r="L127" s="21"/>
      <c r="M127" s="21"/>
      <c r="N127" s="21"/>
      <c r="O127" s="21"/>
      <c r="P127" s="21"/>
      <c r="Q127" s="21"/>
      <c r="S127" s="21"/>
      <c r="T127" s="21"/>
      <c r="U127" s="21"/>
      <c r="V127" s="21"/>
      <c r="W127" s="21"/>
      <c r="X127" s="21"/>
      <c r="Y127" s="21"/>
    </row>
    <row r="128" spans="1:33" ht="15" customHeight="1" x14ac:dyDescent="0.2">
      <c r="A128" s="52"/>
      <c r="B128" s="67" t="str">
        <f>Summary!B10</f>
        <v>YUV, Animation, 720p</v>
      </c>
      <c r="C128" s="65" t="e">
        <f t="shared" ref="C128:C129" ca="1" si="14">Q113/I113</f>
        <v>#NAME?</v>
      </c>
      <c r="D128" s="65" t="e">
        <f t="shared" ref="D128:D129" ca="1" si="15">R113/J113</f>
        <v>#NAME?</v>
      </c>
      <c r="E128" s="21"/>
      <c r="F128" s="21"/>
      <c r="G128" s="21"/>
      <c r="H128" s="21"/>
      <c r="J128" s="21"/>
      <c r="K128" s="21"/>
      <c r="L128" s="21"/>
      <c r="M128" s="21"/>
      <c r="N128" s="21"/>
      <c r="O128" s="21"/>
      <c r="P128" s="21"/>
      <c r="Q128" s="21"/>
      <c r="S128" s="21"/>
      <c r="T128" s="21"/>
      <c r="U128" s="21"/>
      <c r="V128" s="21"/>
      <c r="W128" s="21"/>
      <c r="X128" s="21"/>
      <c r="Y128" s="21"/>
    </row>
    <row r="129" spans="1:25" s="21" customFormat="1" ht="15" customHeight="1" x14ac:dyDescent="0.2">
      <c r="A129" s="52"/>
      <c r="B129" s="67" t="str">
        <f>Summary!B11</f>
        <v>YUV, camera captured, 1080p</v>
      </c>
      <c r="C129" s="65" t="e">
        <f t="shared" ca="1" si="14"/>
        <v>#NAME?</v>
      </c>
      <c r="D129" s="65" t="e">
        <f t="shared" ca="1" si="15"/>
        <v>#NAME?</v>
      </c>
      <c r="I129" s="4"/>
    </row>
    <row r="130" spans="1:25" ht="15" customHeight="1" thickBot="1" x14ac:dyDescent="0.25">
      <c r="A130" s="52"/>
      <c r="B130" s="68" t="s">
        <v>1</v>
      </c>
      <c r="C130" s="66" t="e">
        <f ca="1">Q116/I116</f>
        <v>#NAME?</v>
      </c>
      <c r="D130" s="66" t="e">
        <f ca="1">R116/J116</f>
        <v>#NAME?</v>
      </c>
      <c r="E130" s="21"/>
      <c r="F130" s="21"/>
      <c r="G130" s="21"/>
      <c r="H130" s="21"/>
      <c r="J130" s="21"/>
      <c r="K130" s="21"/>
      <c r="L130" s="21"/>
      <c r="M130" s="21"/>
      <c r="N130" s="21"/>
      <c r="O130" s="21"/>
      <c r="P130" s="21"/>
      <c r="Q130" s="21"/>
      <c r="S130" s="21"/>
      <c r="T130" s="21"/>
      <c r="U130" s="21"/>
      <c r="V130" s="21"/>
      <c r="W130" s="21"/>
      <c r="X130" s="21"/>
      <c r="Y130" s="21"/>
    </row>
    <row r="131" spans="1:25" x14ac:dyDescent="0.2">
      <c r="A131" s="52"/>
      <c r="B131" s="21"/>
      <c r="C131" s="21"/>
      <c r="D131" s="21"/>
      <c r="E131" s="21"/>
      <c r="F131" s="21"/>
      <c r="G131" s="21"/>
      <c r="H131" s="21"/>
      <c r="J131" s="21"/>
      <c r="K131" s="21"/>
      <c r="L131" s="21"/>
      <c r="M131" s="21"/>
      <c r="N131" s="21"/>
      <c r="O131" s="21"/>
      <c r="P131" s="21"/>
      <c r="Q131" s="21"/>
      <c r="S131" s="21"/>
      <c r="T131" s="21"/>
      <c r="U131" s="21"/>
      <c r="V131" s="21"/>
      <c r="W131" s="21"/>
      <c r="X131" s="21"/>
      <c r="Y131" s="21"/>
    </row>
    <row r="132" spans="1:25" x14ac:dyDescent="0.2">
      <c r="A132" s="52"/>
      <c r="B132" s="6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S132" s="21"/>
      <c r="T132" s="21"/>
      <c r="U132" s="21"/>
      <c r="V132" s="21"/>
      <c r="W132" s="21"/>
      <c r="X132" s="21"/>
      <c r="Y132" s="21"/>
    </row>
    <row r="133" spans="1:25" x14ac:dyDescent="0.2">
      <c r="A133" s="53"/>
      <c r="B133" s="6"/>
      <c r="C133" s="21"/>
      <c r="D133" s="21"/>
      <c r="E133" s="21"/>
      <c r="F133" s="21"/>
      <c r="G133" s="21"/>
      <c r="H133" s="4"/>
      <c r="I133" s="21"/>
      <c r="J133" s="21"/>
      <c r="K133" s="21"/>
      <c r="L133" s="21"/>
      <c r="M133" s="21"/>
      <c r="N133" s="21"/>
      <c r="O133" s="21"/>
      <c r="P133" s="21"/>
      <c r="Q133" s="21"/>
      <c r="S133" s="21"/>
      <c r="T133" s="21"/>
      <c r="U133" s="21"/>
      <c r="V133" s="21"/>
      <c r="W133" s="21"/>
      <c r="X133" s="21"/>
      <c r="Y133" s="21"/>
    </row>
    <row r="134" spans="1:25" ht="12" x14ac:dyDescent="0.2">
      <c r="A134" s="1"/>
      <c r="C134" s="21"/>
      <c r="D134" s="21"/>
      <c r="E134" s="21"/>
      <c r="F134" s="21"/>
      <c r="G134" s="21"/>
      <c r="H134" s="4"/>
      <c r="I134" s="21"/>
      <c r="J134" s="21"/>
      <c r="K134" s="21"/>
      <c r="L134" s="21"/>
      <c r="M134" s="21"/>
      <c r="N134" s="21"/>
      <c r="O134" s="21"/>
      <c r="P134" s="21"/>
      <c r="Q134" s="21"/>
      <c r="S134" s="21"/>
      <c r="T134" s="21"/>
      <c r="U134" s="21"/>
      <c r="V134" s="21"/>
      <c r="W134" s="21"/>
      <c r="X134" s="21"/>
      <c r="Y134" s="21"/>
    </row>
    <row r="139" spans="1:25" ht="12" x14ac:dyDescent="0.2">
      <c r="A139" s="1"/>
      <c r="I139" s="1"/>
      <c r="T139" s="6"/>
      <c r="U139" s="6"/>
      <c r="V139" s="6"/>
      <c r="W139" s="6"/>
      <c r="X139" s="6"/>
      <c r="Y139" s="6"/>
    </row>
    <row r="140" spans="1:25" ht="12" x14ac:dyDescent="0.2">
      <c r="A140" s="1"/>
      <c r="I140" s="1"/>
      <c r="T140" s="6"/>
      <c r="U140" s="6"/>
      <c r="V140" s="6"/>
      <c r="W140" s="6"/>
      <c r="X140" s="6"/>
      <c r="Y140" s="6"/>
    </row>
    <row r="141" spans="1:25" ht="12" x14ac:dyDescent="0.2">
      <c r="A141" s="1"/>
      <c r="I141" s="1"/>
      <c r="T141" s="11"/>
      <c r="U141" s="11"/>
      <c r="V141" s="11"/>
      <c r="W141" s="11"/>
      <c r="X141" s="11"/>
      <c r="Y141" s="11"/>
    </row>
    <row r="142" spans="1:25" ht="12" x14ac:dyDescent="0.2">
      <c r="A142" s="1"/>
      <c r="I142" s="1"/>
      <c r="T142" s="6"/>
      <c r="U142" s="6"/>
      <c r="V142" s="6"/>
      <c r="W142" s="6"/>
    </row>
    <row r="143" spans="1:25" ht="12" x14ac:dyDescent="0.2">
      <c r="A143" s="1"/>
      <c r="I143" s="1"/>
      <c r="T143" s="6"/>
      <c r="U143" s="6"/>
      <c r="V143" s="6"/>
      <c r="W143" s="6"/>
    </row>
    <row r="144" spans="1:25" ht="12" x14ac:dyDescent="0.2">
      <c r="A144" s="1"/>
      <c r="I144" s="1"/>
      <c r="T144" s="11"/>
      <c r="U144" s="11"/>
      <c r="V144" s="11"/>
      <c r="W144" s="11"/>
    </row>
    <row r="145" spans="1:25" ht="12" x14ac:dyDescent="0.2">
      <c r="A145" s="1"/>
      <c r="I145" s="1"/>
      <c r="T145" s="11"/>
      <c r="U145" s="11"/>
      <c r="V145" s="11"/>
      <c r="W145" s="11"/>
    </row>
    <row r="146" spans="1:25" ht="12" x14ac:dyDescent="0.2">
      <c r="A146" s="1"/>
      <c r="I146" s="1"/>
      <c r="T146" s="6"/>
      <c r="U146" s="6"/>
      <c r="V146" s="6"/>
      <c r="W146" s="6"/>
    </row>
    <row r="147" spans="1:25" ht="12" x14ac:dyDescent="0.2">
      <c r="A147" s="1"/>
      <c r="I147" s="1"/>
      <c r="T147" s="6"/>
      <c r="U147" s="6"/>
      <c r="V147" s="6"/>
      <c r="W147" s="6"/>
    </row>
    <row r="148" spans="1:25" ht="12" x14ac:dyDescent="0.2">
      <c r="A148" s="1"/>
      <c r="I148" s="1"/>
      <c r="T148" s="6"/>
      <c r="U148" s="6"/>
      <c r="V148" s="6"/>
      <c r="W148" s="6"/>
    </row>
    <row r="149" spans="1:25" ht="12" x14ac:dyDescent="0.2">
      <c r="A149" s="1"/>
      <c r="I149" s="1"/>
      <c r="T149" s="6"/>
      <c r="U149" s="6"/>
      <c r="V149" s="6"/>
      <c r="W149" s="6"/>
      <c r="X149" s="6"/>
      <c r="Y149" s="6"/>
    </row>
    <row r="150" spans="1:25" ht="12" x14ac:dyDescent="0.2">
      <c r="A150" s="1"/>
      <c r="I150" s="1"/>
      <c r="T150" s="6"/>
      <c r="U150" s="6"/>
      <c r="V150" s="6"/>
      <c r="W150" s="6"/>
      <c r="X150" s="6"/>
      <c r="Y150" s="6"/>
    </row>
    <row r="151" spans="1:25" ht="12" x14ac:dyDescent="0.2">
      <c r="A151" s="1"/>
      <c r="I151" s="1"/>
      <c r="T151" s="6"/>
      <c r="U151" s="6"/>
      <c r="V151" s="6"/>
      <c r="W151" s="6"/>
      <c r="X151" s="6"/>
      <c r="Y151" s="6"/>
    </row>
    <row r="152" spans="1:25" ht="12" x14ac:dyDescent="0.2">
      <c r="A152" s="1"/>
      <c r="I152" s="1"/>
      <c r="T152" s="11"/>
      <c r="U152" s="11"/>
      <c r="V152" s="11"/>
      <c r="W152" s="11"/>
      <c r="X152" s="11"/>
      <c r="Y152" s="11"/>
    </row>
  </sheetData>
  <mergeCells count="7">
    <mergeCell ref="AE1:AG1"/>
    <mergeCell ref="C120:D120"/>
    <mergeCell ref="D1:J1"/>
    <mergeCell ref="L1:R1"/>
    <mergeCell ref="T1:V1"/>
    <mergeCell ref="W1:Y1"/>
    <mergeCell ref="AA1:AC1"/>
  </mergeCells>
  <phoneticPr fontId="13" type="noConversion"/>
  <conditionalFormatting sqref="AA3:AC106">
    <cfRule type="expression" dxfId="11" priority="1" stopIfTrue="1">
      <formula>E3&lt;AA3</formula>
    </cfRule>
    <cfRule type="expression" dxfId="10" priority="2">
      <formula>E3-AA3&gt;0.5</formula>
    </cfRule>
  </conditionalFormatting>
  <conditionalFormatting sqref="AE3:AG106">
    <cfRule type="expression" dxfId="9" priority="3" stopIfTrue="1">
      <formula>M3&lt;AE3</formula>
    </cfRule>
    <cfRule type="expression" dxfId="8" priority="4">
      <formula>M3-AE3&gt;0.5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152"/>
  <sheetViews>
    <sheetView workbookViewId="0">
      <selection activeCell="D3" sqref="D3:I106"/>
    </sheetView>
  </sheetViews>
  <sheetFormatPr defaultColWidth="10.875" defaultRowHeight="14.25" x14ac:dyDescent="0.2"/>
  <cols>
    <col min="1" max="1" width="37" style="55" bestFit="1" customWidth="1"/>
    <col min="2" max="2" width="36.625" style="21" customWidth="1"/>
    <col min="3" max="3" width="7.875" style="21" customWidth="1"/>
    <col min="4" max="4" width="9.875" style="21" customWidth="1"/>
    <col min="5" max="7" width="6.875" style="21" customWidth="1"/>
    <col min="8" max="8" width="8.875" style="21" customWidth="1"/>
    <col min="9" max="9" width="8.875" style="4" customWidth="1"/>
    <col min="10" max="10" width="8.875" style="21" customWidth="1"/>
    <col min="11" max="11" width="2.875" style="21" customWidth="1"/>
    <col min="12" max="12" width="9.875" style="21" customWidth="1"/>
    <col min="13" max="15" width="6.875" style="21" customWidth="1"/>
    <col min="16" max="18" width="8.875" style="21" customWidth="1"/>
    <col min="19" max="19" width="2.875" style="21" customWidth="1"/>
    <col min="20" max="25" width="8.875" style="21" customWidth="1"/>
    <col min="26" max="26" width="2.875" style="21" customWidth="1"/>
    <col min="27" max="29" width="6.875" style="21" customWidth="1"/>
    <col min="30" max="30" width="2.875" style="21" customWidth="1"/>
    <col min="31" max="33" width="6.875" style="21" customWidth="1"/>
    <col min="34" max="16384" width="10.875" style="21"/>
  </cols>
  <sheetData>
    <row r="1" spans="1:38" s="6" customFormat="1" ht="15" customHeight="1" thickBot="1" x14ac:dyDescent="0.25">
      <c r="A1" s="52"/>
      <c r="D1" s="154" t="str">
        <f>Summary!H2</f>
        <v xml:space="preserve">Anchor </v>
      </c>
      <c r="E1" s="154"/>
      <c r="F1" s="154"/>
      <c r="G1" s="154"/>
      <c r="H1" s="154"/>
      <c r="I1" s="154"/>
      <c r="J1" s="154"/>
      <c r="L1" s="154" t="str">
        <f>Summary!H3</f>
        <v xml:space="preserve">Tested </v>
      </c>
      <c r="M1" s="154"/>
      <c r="N1" s="154"/>
      <c r="O1" s="154"/>
      <c r="P1" s="154"/>
      <c r="Q1" s="154"/>
      <c r="R1" s="154"/>
      <c r="S1" s="129"/>
      <c r="T1" s="157" t="s">
        <v>10</v>
      </c>
      <c r="U1" s="157"/>
      <c r="V1" s="157"/>
      <c r="W1" s="157" t="s">
        <v>11</v>
      </c>
      <c r="X1" s="157"/>
      <c r="Y1" s="157"/>
      <c r="AA1" s="158" t="s">
        <v>37</v>
      </c>
      <c r="AB1" s="158"/>
      <c r="AC1" s="158"/>
      <c r="AD1" s="130"/>
      <c r="AE1" s="154" t="s">
        <v>36</v>
      </c>
      <c r="AF1" s="154"/>
      <c r="AG1" s="154"/>
    </row>
    <row r="2" spans="1:38" ht="15" customHeight="1" thickBot="1" x14ac:dyDescent="0.25">
      <c r="A2" s="53"/>
      <c r="B2" s="6"/>
      <c r="C2" s="18" t="s">
        <v>0</v>
      </c>
      <c r="D2" s="22" t="s">
        <v>4</v>
      </c>
      <c r="E2" s="23" t="s">
        <v>60</v>
      </c>
      <c r="F2" s="23" t="s">
        <v>61</v>
      </c>
      <c r="G2" s="23" t="s">
        <v>62</v>
      </c>
      <c r="H2" s="23" t="s">
        <v>5</v>
      </c>
      <c r="I2" s="26" t="s">
        <v>6</v>
      </c>
      <c r="J2" s="72" t="s">
        <v>7</v>
      </c>
      <c r="K2" s="81"/>
      <c r="L2" s="71" t="s">
        <v>4</v>
      </c>
      <c r="M2" s="72" t="s">
        <v>60</v>
      </c>
      <c r="N2" s="72" t="s">
        <v>61</v>
      </c>
      <c r="O2" s="72" t="s">
        <v>62</v>
      </c>
      <c r="P2" s="72" t="s">
        <v>5</v>
      </c>
      <c r="Q2" s="72" t="s">
        <v>6</v>
      </c>
      <c r="R2" s="72" t="s">
        <v>7</v>
      </c>
      <c r="S2" s="82"/>
      <c r="T2" s="71" t="s">
        <v>57</v>
      </c>
      <c r="U2" s="72" t="s">
        <v>58</v>
      </c>
      <c r="V2" s="73" t="s">
        <v>59</v>
      </c>
      <c r="W2" s="71" t="s">
        <v>57</v>
      </c>
      <c r="X2" s="72" t="s">
        <v>58</v>
      </c>
      <c r="Y2" s="73" t="s">
        <v>59</v>
      </c>
      <c r="Z2" s="81"/>
      <c r="AA2" s="23" t="s">
        <v>57</v>
      </c>
      <c r="AB2" s="23" t="s">
        <v>58</v>
      </c>
      <c r="AC2" s="23" t="s">
        <v>59</v>
      </c>
      <c r="AD2" s="82"/>
      <c r="AE2" s="71" t="s">
        <v>57</v>
      </c>
      <c r="AF2" s="72" t="s">
        <v>58</v>
      </c>
      <c r="AG2" s="73" t="s">
        <v>59</v>
      </c>
    </row>
    <row r="3" spans="1:38" ht="15" customHeight="1" x14ac:dyDescent="0.25">
      <c r="A3" s="54" t="s">
        <v>21</v>
      </c>
      <c r="B3" s="34" t="s">
        <v>38</v>
      </c>
      <c r="C3" s="18">
        <v>22</v>
      </c>
      <c r="D3" s="43"/>
      <c r="E3" s="43"/>
      <c r="F3" s="43"/>
      <c r="G3" s="43"/>
      <c r="H3" s="99"/>
      <c r="I3" s="100"/>
      <c r="J3" s="84" t="e">
        <f ca="1">secToHours(H3)</f>
        <v>#NAME?</v>
      </c>
      <c r="K3" s="19"/>
      <c r="L3" s="109"/>
      <c r="M3" s="110"/>
      <c r="N3" s="110"/>
      <c r="O3" s="110"/>
      <c r="P3" s="110"/>
      <c r="Q3" s="119"/>
      <c r="R3" s="84" t="e">
        <f ca="1">secToHours(P3)</f>
        <v>#NAME?</v>
      </c>
      <c r="S3" s="83"/>
      <c r="T3" s="88" t="e">
        <f ca="1">bdrate(D3:D6,E3:E6,L3:L6,M3:M6)</f>
        <v>#NAME?</v>
      </c>
      <c r="U3" s="89" t="e">
        <f ca="1">bdrate(D3:D6,F3:F6,L3:L6,N3:N6)</f>
        <v>#NAME?</v>
      </c>
      <c r="V3" s="89" t="e">
        <f ca="1">bdrate(D3:D6,G3:G6,L3:L6,O3:O6)</f>
        <v>#NAME?</v>
      </c>
      <c r="W3" s="89" t="e">
        <f ca="1">bdrateOld(D3:D6,E3:E6,L3:L6,M3:M6)</f>
        <v>#NAME?</v>
      </c>
      <c r="X3" s="89" t="e">
        <f ca="1">bdrateOld(D3:D6,F3:F6,L3:L6,N3:N6)</f>
        <v>#NAME?</v>
      </c>
      <c r="Y3" s="89" t="e">
        <f ca="1">bdrateOld(D3:D6,G3:G6,L3:L6,O3:O6)</f>
        <v>#NAME?</v>
      </c>
      <c r="Z3" s="19"/>
      <c r="AA3" s="43"/>
      <c r="AB3" s="43"/>
      <c r="AC3" s="43"/>
      <c r="AD3" s="83"/>
      <c r="AE3" s="109">
        <v>45.976100000000002</v>
      </c>
      <c r="AF3" s="110">
        <v>44.888399999999997</v>
      </c>
      <c r="AG3" s="119">
        <v>44.691099999999999</v>
      </c>
      <c r="AI3" s="141"/>
      <c r="AJ3" s="141"/>
      <c r="AK3" s="141"/>
      <c r="AL3" s="141"/>
    </row>
    <row r="4" spans="1:38" ht="15" customHeight="1" x14ac:dyDescent="0.2">
      <c r="B4" s="35"/>
      <c r="C4" s="19">
        <v>27</v>
      </c>
      <c r="D4" s="24"/>
      <c r="E4" s="24"/>
      <c r="F4" s="24"/>
      <c r="G4" s="24"/>
      <c r="H4" s="101"/>
      <c r="I4" s="102"/>
      <c r="J4" s="85" t="e">
        <f ca="1">secToHours(H4)</f>
        <v>#NAME?</v>
      </c>
      <c r="K4" s="19"/>
      <c r="L4" s="111"/>
      <c r="M4" s="112"/>
      <c r="N4" s="112"/>
      <c r="O4" s="112"/>
      <c r="P4" s="112"/>
      <c r="Q4" s="120"/>
      <c r="R4" s="85" t="e">
        <f ca="1">secToHours(P4)</f>
        <v>#NAME?</v>
      </c>
      <c r="S4" s="83"/>
      <c r="T4" s="90"/>
      <c r="U4" s="91"/>
      <c r="V4" s="91"/>
      <c r="W4" s="91"/>
      <c r="X4" s="91"/>
      <c r="Y4" s="91"/>
      <c r="Z4" s="19"/>
      <c r="AA4" s="24"/>
      <c r="AB4" s="24"/>
      <c r="AC4" s="24"/>
      <c r="AD4" s="83"/>
      <c r="AE4" s="111">
        <v>40.459499999999998</v>
      </c>
      <c r="AF4" s="112">
        <v>39.299799999999998</v>
      </c>
      <c r="AG4" s="120">
        <v>39.305399999999999</v>
      </c>
      <c r="AI4" s="141"/>
      <c r="AJ4" s="141"/>
      <c r="AK4" s="141"/>
      <c r="AL4" s="141"/>
    </row>
    <row r="5" spans="1:38" ht="15" customHeight="1" x14ac:dyDescent="0.2">
      <c r="B5" s="36"/>
      <c r="C5" s="19">
        <v>32</v>
      </c>
      <c r="D5" s="24"/>
      <c r="E5" s="24"/>
      <c r="F5" s="24"/>
      <c r="G5" s="24"/>
      <c r="H5" s="101"/>
      <c r="I5" s="102"/>
      <c r="J5" s="85" t="e">
        <f t="shared" ref="J5:J68" ca="1" si="0">secToHours(H5)</f>
        <v>#NAME?</v>
      </c>
      <c r="K5" s="19"/>
      <c r="L5" s="111"/>
      <c r="M5" s="112"/>
      <c r="N5" s="112"/>
      <c r="O5" s="112"/>
      <c r="P5" s="112"/>
      <c r="Q5" s="120"/>
      <c r="R5" s="85" t="e">
        <f t="shared" ref="R5:R68" ca="1" si="1">secToHours(P5)</f>
        <v>#NAME?</v>
      </c>
      <c r="S5" s="83"/>
      <c r="T5" s="90"/>
      <c r="U5" s="91"/>
      <c r="V5" s="91"/>
      <c r="W5" s="91"/>
      <c r="X5" s="91"/>
      <c r="Y5" s="91"/>
      <c r="Z5" s="19"/>
      <c r="AA5" s="24"/>
      <c r="AB5" s="24"/>
      <c r="AC5" s="24"/>
      <c r="AD5" s="83"/>
      <c r="AE5" s="111">
        <v>35.875</v>
      </c>
      <c r="AF5" s="112">
        <v>34.520400000000002</v>
      </c>
      <c r="AG5" s="120">
        <v>34.749899999999997</v>
      </c>
      <c r="AI5" s="141"/>
      <c r="AJ5" s="141"/>
      <c r="AK5" s="141"/>
      <c r="AL5" s="141"/>
    </row>
    <row r="6" spans="1:38" ht="15" customHeight="1" x14ac:dyDescent="0.2">
      <c r="B6" s="36"/>
      <c r="C6" s="19">
        <v>37</v>
      </c>
      <c r="D6" s="25"/>
      <c r="E6" s="25"/>
      <c r="F6" s="25"/>
      <c r="G6" s="25"/>
      <c r="H6" s="103"/>
      <c r="I6" s="104"/>
      <c r="J6" s="86" t="e">
        <f t="shared" ca="1" si="0"/>
        <v>#NAME?</v>
      </c>
      <c r="K6" s="19"/>
      <c r="L6" s="113"/>
      <c r="M6" s="114"/>
      <c r="N6" s="114"/>
      <c r="O6" s="114"/>
      <c r="P6" s="114"/>
      <c r="Q6" s="121"/>
      <c r="R6" s="86" t="e">
        <f t="shared" ca="1" si="1"/>
        <v>#NAME?</v>
      </c>
      <c r="S6" s="83"/>
      <c r="T6" s="92"/>
      <c r="U6" s="93"/>
      <c r="V6" s="93"/>
      <c r="W6" s="93"/>
      <c r="X6" s="93"/>
      <c r="Y6" s="93"/>
      <c r="Z6" s="19"/>
      <c r="AA6" s="25"/>
      <c r="AB6" s="25"/>
      <c r="AC6" s="25"/>
      <c r="AD6" s="83"/>
      <c r="AE6" s="113">
        <v>31.610700000000001</v>
      </c>
      <c r="AF6" s="114">
        <v>29.553100000000001</v>
      </c>
      <c r="AG6" s="121">
        <v>30.124199999999998</v>
      </c>
      <c r="AI6" s="141"/>
      <c r="AJ6" s="141"/>
      <c r="AK6" s="141"/>
      <c r="AL6" s="141"/>
    </row>
    <row r="7" spans="1:38" ht="15" customHeight="1" x14ac:dyDescent="0.2">
      <c r="B7" s="37" t="s">
        <v>39</v>
      </c>
      <c r="C7" s="61">
        <v>22</v>
      </c>
      <c r="D7" s="31"/>
      <c r="E7" s="31"/>
      <c r="F7" s="31"/>
      <c r="G7" s="31"/>
      <c r="H7" s="105"/>
      <c r="I7" s="106"/>
      <c r="J7" s="85" t="e">
        <f t="shared" ca="1" si="0"/>
        <v>#NAME?</v>
      </c>
      <c r="K7" s="19"/>
      <c r="L7" s="115"/>
      <c r="M7" s="116"/>
      <c r="N7" s="116"/>
      <c r="O7" s="116"/>
      <c r="P7" s="116"/>
      <c r="Q7" s="122"/>
      <c r="R7" s="85" t="e">
        <f t="shared" ca="1" si="1"/>
        <v>#NAME?</v>
      </c>
      <c r="S7" s="83"/>
      <c r="T7" s="94" t="e">
        <f ca="1">bdrate(D7:D10,E7:E10,L7:L10,M7:M10)</f>
        <v>#NAME?</v>
      </c>
      <c r="U7" s="95" t="e">
        <f ca="1">bdrate(D7:D10,F7:F10,L7:L10,N7:N10)</f>
        <v>#NAME?</v>
      </c>
      <c r="V7" s="95" t="e">
        <f ca="1">bdrate(D7:D10,G7:G10,L7:L10,O7:O10)</f>
        <v>#NAME?</v>
      </c>
      <c r="W7" s="95" t="e">
        <f ca="1">bdrateOld(D7:D10,E7:E10,L7:L10,M7:M10)</f>
        <v>#NAME?</v>
      </c>
      <c r="X7" s="95" t="e">
        <f ca="1">bdrateOld(D7:D10,F7:F10,L7:L10,N7:N10)</f>
        <v>#NAME?</v>
      </c>
      <c r="Y7" s="95" t="e">
        <f ca="1">bdrateOld(D7:D10,G7:G10,L7:L10,O7:O10)</f>
        <v>#NAME?</v>
      </c>
      <c r="Z7" s="19"/>
      <c r="AA7" s="31"/>
      <c r="AB7" s="31"/>
      <c r="AC7" s="31"/>
      <c r="AD7" s="83"/>
      <c r="AE7" s="115">
        <v>56.583300000000001</v>
      </c>
      <c r="AF7" s="116">
        <v>54.550800000000002</v>
      </c>
      <c r="AG7" s="125">
        <v>54.180599999999998</v>
      </c>
      <c r="AI7" s="141"/>
      <c r="AJ7" s="141"/>
      <c r="AK7" s="141"/>
      <c r="AL7" s="141"/>
    </row>
    <row r="8" spans="1:38" ht="15" customHeight="1" x14ac:dyDescent="0.2">
      <c r="B8" s="36"/>
      <c r="C8" s="19">
        <v>27</v>
      </c>
      <c r="D8" s="24"/>
      <c r="E8" s="24"/>
      <c r="F8" s="24"/>
      <c r="G8" s="24"/>
      <c r="H8" s="101"/>
      <c r="I8" s="102"/>
      <c r="J8" s="85" t="e">
        <f t="shared" ca="1" si="0"/>
        <v>#NAME?</v>
      </c>
      <c r="K8" s="19"/>
      <c r="L8" s="111"/>
      <c r="M8" s="112"/>
      <c r="N8" s="112"/>
      <c r="O8" s="112"/>
      <c r="P8" s="112"/>
      <c r="Q8" s="123"/>
      <c r="R8" s="85" t="e">
        <f t="shared" ca="1" si="1"/>
        <v>#NAME?</v>
      </c>
      <c r="S8" s="83"/>
      <c r="T8" s="90"/>
      <c r="U8" s="91"/>
      <c r="V8" s="91"/>
      <c r="W8" s="91"/>
      <c r="X8" s="91"/>
      <c r="Y8" s="91"/>
      <c r="Z8" s="19"/>
      <c r="AA8" s="24"/>
      <c r="AB8" s="24"/>
      <c r="AC8" s="24"/>
      <c r="AD8" s="83"/>
      <c r="AE8" s="111">
        <v>52.128900000000002</v>
      </c>
      <c r="AF8" s="112">
        <v>49.78</v>
      </c>
      <c r="AG8" s="120">
        <v>49.314100000000003</v>
      </c>
      <c r="AI8" s="141"/>
      <c r="AJ8" s="141"/>
      <c r="AK8" s="141"/>
      <c r="AL8" s="141"/>
    </row>
    <row r="9" spans="1:38" ht="15" customHeight="1" x14ac:dyDescent="0.2">
      <c r="B9" s="36"/>
      <c r="C9" s="19">
        <v>32</v>
      </c>
      <c r="D9" s="24"/>
      <c r="E9" s="24"/>
      <c r="F9" s="24"/>
      <c r="G9" s="24"/>
      <c r="H9" s="101"/>
      <c r="I9" s="102"/>
      <c r="J9" s="85" t="e">
        <f t="shared" ca="1" si="0"/>
        <v>#NAME?</v>
      </c>
      <c r="K9" s="19"/>
      <c r="L9" s="111"/>
      <c r="M9" s="112"/>
      <c r="N9" s="112"/>
      <c r="O9" s="112"/>
      <c r="P9" s="112"/>
      <c r="Q9" s="123"/>
      <c r="R9" s="85" t="e">
        <f t="shared" ca="1" si="1"/>
        <v>#NAME?</v>
      </c>
      <c r="S9" s="83"/>
      <c r="T9" s="90"/>
      <c r="U9" s="91"/>
      <c r="V9" s="91"/>
      <c r="W9" s="91"/>
      <c r="X9" s="91"/>
      <c r="Y9" s="91"/>
      <c r="Z9" s="19"/>
      <c r="AA9" s="24"/>
      <c r="AB9" s="24"/>
      <c r="AC9" s="24"/>
      <c r="AD9" s="83"/>
      <c r="AE9" s="111">
        <v>47.219000000000001</v>
      </c>
      <c r="AF9" s="112">
        <v>44.406500000000001</v>
      </c>
      <c r="AG9" s="120">
        <v>43.988599999999998</v>
      </c>
      <c r="AI9" s="141"/>
      <c r="AJ9" s="141"/>
      <c r="AK9" s="141"/>
      <c r="AL9" s="141"/>
    </row>
    <row r="10" spans="1:38" ht="15" customHeight="1" x14ac:dyDescent="0.2">
      <c r="B10" s="38"/>
      <c r="C10" s="60">
        <v>37</v>
      </c>
      <c r="D10" s="25"/>
      <c r="E10" s="25"/>
      <c r="F10" s="25"/>
      <c r="G10" s="25"/>
      <c r="H10" s="103"/>
      <c r="I10" s="104"/>
      <c r="J10" s="86" t="e">
        <f t="shared" ca="1" si="0"/>
        <v>#NAME?</v>
      </c>
      <c r="K10" s="19"/>
      <c r="L10" s="113"/>
      <c r="M10" s="114"/>
      <c r="N10" s="114"/>
      <c r="O10" s="114"/>
      <c r="P10" s="114"/>
      <c r="Q10" s="121"/>
      <c r="R10" s="86" t="e">
        <f t="shared" ca="1" si="1"/>
        <v>#NAME?</v>
      </c>
      <c r="S10" s="83"/>
      <c r="T10" s="92"/>
      <c r="U10" s="93"/>
      <c r="V10" s="93"/>
      <c r="W10" s="93"/>
      <c r="X10" s="93"/>
      <c r="Y10" s="93"/>
      <c r="Z10" s="19"/>
      <c r="AA10" s="25"/>
      <c r="AB10" s="25"/>
      <c r="AC10" s="25"/>
      <c r="AD10" s="83"/>
      <c r="AE10" s="113">
        <v>41.417700000000004</v>
      </c>
      <c r="AF10" s="114">
        <v>38.3292</v>
      </c>
      <c r="AG10" s="121">
        <v>37.847299999999997</v>
      </c>
      <c r="AI10" s="141"/>
      <c r="AJ10" s="141"/>
      <c r="AK10" s="141"/>
      <c r="AL10" s="141"/>
    </row>
    <row r="11" spans="1:38" ht="15" customHeight="1" x14ac:dyDescent="0.2">
      <c r="B11" s="37" t="s">
        <v>40</v>
      </c>
      <c r="C11" s="19">
        <v>22</v>
      </c>
      <c r="D11" s="24"/>
      <c r="E11" s="24"/>
      <c r="F11" s="24"/>
      <c r="G11" s="24"/>
      <c r="H11" s="101"/>
      <c r="I11" s="102"/>
      <c r="J11" s="85" t="e">
        <f t="shared" ca="1" si="0"/>
        <v>#NAME?</v>
      </c>
      <c r="K11" s="19"/>
      <c r="L11" s="111"/>
      <c r="M11" s="112"/>
      <c r="N11" s="112"/>
      <c r="O11" s="112"/>
      <c r="P11" s="112"/>
      <c r="Q11" s="120"/>
      <c r="R11" s="85" t="e">
        <f t="shared" ca="1" si="1"/>
        <v>#NAME?</v>
      </c>
      <c r="S11" s="83"/>
      <c r="T11" s="90" t="e">
        <f ca="1">bdrate(D11:D14,E11:E14,L11:L14,M11:M14)</f>
        <v>#NAME?</v>
      </c>
      <c r="U11" s="91" t="e">
        <f ca="1">bdrate(D11:D14,F11:F14,L11:L14,N11:N14)</f>
        <v>#NAME?</v>
      </c>
      <c r="V11" s="91" t="e">
        <f ca="1">bdrate(D11:D14,G11:G14,L11:L14,O11:O14)</f>
        <v>#NAME?</v>
      </c>
      <c r="W11" s="91" t="e">
        <f ca="1">bdrateOld(D11:D14,E11:E14,L11:L14,M11:M14)</f>
        <v>#NAME?</v>
      </c>
      <c r="X11" s="91" t="e">
        <f ca="1">bdrateOld(D11:D14,F11:F14,L11:L14,N11:N14)</f>
        <v>#NAME?</v>
      </c>
      <c r="Y11" s="91" t="e">
        <f ca="1">bdrateOld(D11:D14,G11:G14,L11:L14,O11:O14)</f>
        <v>#NAME?</v>
      </c>
      <c r="Z11" s="19"/>
      <c r="AA11" s="24"/>
      <c r="AB11" s="24"/>
      <c r="AC11" s="24"/>
      <c r="AD11" s="83"/>
      <c r="AE11" s="111">
        <v>56.272599999999997</v>
      </c>
      <c r="AF11" s="112">
        <v>55.777200000000001</v>
      </c>
      <c r="AG11" s="120">
        <v>54.931100000000001</v>
      </c>
      <c r="AI11" s="141"/>
      <c r="AJ11" s="141"/>
      <c r="AK11" s="141"/>
      <c r="AL11" s="141"/>
    </row>
    <row r="12" spans="1:38" ht="15" customHeight="1" x14ac:dyDescent="0.2">
      <c r="B12" s="36"/>
      <c r="C12" s="19">
        <v>27</v>
      </c>
      <c r="D12" s="24"/>
      <c r="E12" s="24"/>
      <c r="F12" s="24"/>
      <c r="G12" s="24"/>
      <c r="H12" s="101"/>
      <c r="I12" s="102"/>
      <c r="J12" s="85" t="e">
        <f t="shared" ca="1" si="0"/>
        <v>#NAME?</v>
      </c>
      <c r="K12" s="19"/>
      <c r="L12" s="111"/>
      <c r="M12" s="112"/>
      <c r="N12" s="112"/>
      <c r="O12" s="112"/>
      <c r="P12" s="112"/>
      <c r="Q12" s="120"/>
      <c r="R12" s="85" t="e">
        <f t="shared" ca="1" si="1"/>
        <v>#NAME?</v>
      </c>
      <c r="S12" s="83"/>
      <c r="T12" s="90"/>
      <c r="U12" s="91"/>
      <c r="V12" s="91"/>
      <c r="W12" s="91"/>
      <c r="X12" s="91"/>
      <c r="Y12" s="91"/>
      <c r="Z12" s="19"/>
      <c r="AA12" s="24"/>
      <c r="AB12" s="24"/>
      <c r="AC12" s="24"/>
      <c r="AD12" s="83"/>
      <c r="AE12" s="111">
        <v>50.948</v>
      </c>
      <c r="AF12" s="112">
        <v>50.249200000000002</v>
      </c>
      <c r="AG12" s="120">
        <v>49.124699999999997</v>
      </c>
      <c r="AI12" s="141"/>
      <c r="AJ12" s="141"/>
      <c r="AK12" s="141"/>
      <c r="AL12" s="141"/>
    </row>
    <row r="13" spans="1:38" ht="15" customHeight="1" x14ac:dyDescent="0.2">
      <c r="B13" s="36"/>
      <c r="C13" s="19">
        <v>32</v>
      </c>
      <c r="D13" s="24"/>
      <c r="E13" s="24"/>
      <c r="F13" s="24"/>
      <c r="G13" s="24"/>
      <c r="H13" s="101"/>
      <c r="I13" s="102"/>
      <c r="J13" s="85" t="e">
        <f t="shared" ca="1" si="0"/>
        <v>#NAME?</v>
      </c>
      <c r="K13" s="19"/>
      <c r="L13" s="111"/>
      <c r="M13" s="112"/>
      <c r="N13" s="112"/>
      <c r="O13" s="112"/>
      <c r="P13" s="112"/>
      <c r="Q13" s="120"/>
      <c r="R13" s="85" t="e">
        <f t="shared" ca="1" si="1"/>
        <v>#NAME?</v>
      </c>
      <c r="S13" s="83"/>
      <c r="T13" s="90"/>
      <c r="U13" s="91"/>
      <c r="V13" s="91"/>
      <c r="W13" s="91"/>
      <c r="X13" s="91"/>
      <c r="Y13" s="91"/>
      <c r="Z13" s="19"/>
      <c r="AA13" s="24"/>
      <c r="AB13" s="24"/>
      <c r="AC13" s="24"/>
      <c r="AD13" s="83"/>
      <c r="AE13" s="111">
        <v>45.693199999999997</v>
      </c>
      <c r="AF13" s="112">
        <v>44.935600000000001</v>
      </c>
      <c r="AG13" s="120">
        <v>43.406399999999998</v>
      </c>
      <c r="AI13" s="141"/>
      <c r="AJ13" s="141"/>
      <c r="AK13" s="141"/>
      <c r="AL13" s="141"/>
    </row>
    <row r="14" spans="1:38" ht="15" customHeight="1" thickBot="1" x14ac:dyDescent="0.25">
      <c r="B14" s="77"/>
      <c r="C14" s="20">
        <v>37</v>
      </c>
      <c r="D14" s="33"/>
      <c r="E14" s="33"/>
      <c r="F14" s="33"/>
      <c r="G14" s="33"/>
      <c r="H14" s="107"/>
      <c r="I14" s="108"/>
      <c r="J14" s="87" t="e">
        <f t="shared" ca="1" si="0"/>
        <v>#NAME?</v>
      </c>
      <c r="K14" s="19"/>
      <c r="L14" s="117"/>
      <c r="M14" s="118"/>
      <c r="N14" s="118"/>
      <c r="O14" s="118"/>
      <c r="P14" s="118"/>
      <c r="Q14" s="124"/>
      <c r="R14" s="87" t="e">
        <f t="shared" ca="1" si="1"/>
        <v>#NAME?</v>
      </c>
      <c r="S14" s="83"/>
      <c r="T14" s="96"/>
      <c r="U14" s="97"/>
      <c r="V14" s="97"/>
      <c r="W14" s="97"/>
      <c r="X14" s="97"/>
      <c r="Y14" s="97"/>
      <c r="Z14" s="19"/>
      <c r="AA14" s="33"/>
      <c r="AB14" s="33"/>
      <c r="AC14" s="33"/>
      <c r="AD14" s="83"/>
      <c r="AE14" s="117">
        <v>40.2333</v>
      </c>
      <c r="AF14" s="118">
        <v>39.2254</v>
      </c>
      <c r="AG14" s="124">
        <v>36.780900000000003</v>
      </c>
      <c r="AI14" s="141"/>
      <c r="AJ14" s="141"/>
      <c r="AK14" s="141"/>
      <c r="AL14" s="141"/>
    </row>
    <row r="15" spans="1:38" ht="15" customHeight="1" x14ac:dyDescent="0.25">
      <c r="A15" s="54" t="s">
        <v>22</v>
      </c>
      <c r="B15" s="34" t="s">
        <v>41</v>
      </c>
      <c r="C15" s="18">
        <v>22</v>
      </c>
      <c r="D15" s="24"/>
      <c r="E15" s="24"/>
      <c r="F15" s="24"/>
      <c r="G15" s="24"/>
      <c r="H15" s="101"/>
      <c r="I15" s="102"/>
      <c r="J15" s="85" t="e">
        <f t="shared" ca="1" si="0"/>
        <v>#NAME?</v>
      </c>
      <c r="K15" s="19"/>
      <c r="L15" s="111"/>
      <c r="M15" s="112"/>
      <c r="N15" s="112"/>
      <c r="O15" s="112"/>
      <c r="P15" s="112"/>
      <c r="Q15" s="120"/>
      <c r="R15" s="85" t="e">
        <f t="shared" ca="1" si="1"/>
        <v>#NAME?</v>
      </c>
      <c r="S15" s="83"/>
      <c r="T15" s="90" t="e">
        <f ca="1">bdrate(D15:D18,E15:E18,L15:L18,M15:M18)</f>
        <v>#NAME?</v>
      </c>
      <c r="U15" s="91" t="e">
        <f ca="1">bdrate(D15:D18,F15:F18,L15:L18,N15:N18)</f>
        <v>#NAME?</v>
      </c>
      <c r="V15" s="91" t="e">
        <f ca="1">bdrate(D15:D18,G15:G18,L15:L18,O15:O18)</f>
        <v>#NAME?</v>
      </c>
      <c r="W15" s="91" t="e">
        <f ca="1">bdrateOld(D15:D18,E15:E18,L15:L18,M15:M18)</f>
        <v>#NAME?</v>
      </c>
      <c r="X15" s="91" t="e">
        <f ca="1">bdrateOld(D15:D18,F15:F18,L15:L18,N15:N18)</f>
        <v>#NAME?</v>
      </c>
      <c r="Y15" s="91" t="e">
        <f ca="1">bdrateOld(D15:D18,G15:G18,L15:L18,O15:O18)</f>
        <v>#NAME?</v>
      </c>
      <c r="Z15" s="19"/>
      <c r="AA15" s="24"/>
      <c r="AB15" s="24"/>
      <c r="AC15" s="24"/>
      <c r="AD15" s="83"/>
      <c r="AE15" s="111">
        <v>55.553400000000003</v>
      </c>
      <c r="AF15" s="112">
        <v>53.3994</v>
      </c>
      <c r="AG15" s="120">
        <v>53.3857</v>
      </c>
      <c r="AI15" s="141"/>
      <c r="AJ15" s="141"/>
      <c r="AK15" s="141"/>
      <c r="AL15" s="141"/>
    </row>
    <row r="16" spans="1:38" ht="15" customHeight="1" x14ac:dyDescent="0.2">
      <c r="B16" s="36"/>
      <c r="C16" s="19">
        <v>27</v>
      </c>
      <c r="D16" s="24"/>
      <c r="E16" s="24"/>
      <c r="F16" s="24"/>
      <c r="G16" s="24"/>
      <c r="H16" s="101"/>
      <c r="I16" s="102"/>
      <c r="J16" s="85" t="e">
        <f t="shared" ca="1" si="0"/>
        <v>#NAME?</v>
      </c>
      <c r="K16" s="19"/>
      <c r="L16" s="111"/>
      <c r="M16" s="112"/>
      <c r="N16" s="112"/>
      <c r="O16" s="112"/>
      <c r="P16" s="112"/>
      <c r="Q16" s="120"/>
      <c r="R16" s="85" t="e">
        <f t="shared" ca="1" si="1"/>
        <v>#NAME?</v>
      </c>
      <c r="S16" s="83"/>
      <c r="T16" s="90"/>
      <c r="U16" s="91"/>
      <c r="V16" s="91"/>
      <c r="W16" s="91"/>
      <c r="X16" s="91"/>
      <c r="Y16" s="91"/>
      <c r="Z16" s="19"/>
      <c r="AA16" s="24"/>
      <c r="AB16" s="24"/>
      <c r="AC16" s="24"/>
      <c r="AD16" s="83"/>
      <c r="AE16" s="111">
        <v>51.598100000000002</v>
      </c>
      <c r="AF16" s="112">
        <v>49.297800000000002</v>
      </c>
      <c r="AG16" s="120">
        <v>49.4</v>
      </c>
      <c r="AI16" s="141"/>
      <c r="AJ16" s="141"/>
      <c r="AK16" s="141"/>
      <c r="AL16" s="141"/>
    </row>
    <row r="17" spans="1:38" ht="15" customHeight="1" x14ac:dyDescent="0.2">
      <c r="B17" s="36"/>
      <c r="C17" s="19">
        <v>32</v>
      </c>
      <c r="D17" s="24"/>
      <c r="E17" s="24"/>
      <c r="F17" s="24"/>
      <c r="G17" s="24"/>
      <c r="H17" s="101"/>
      <c r="I17" s="102"/>
      <c r="J17" s="85" t="e">
        <f t="shared" ca="1" si="0"/>
        <v>#NAME?</v>
      </c>
      <c r="K17" s="19"/>
      <c r="L17" s="111"/>
      <c r="M17" s="112"/>
      <c r="N17" s="112"/>
      <c r="O17" s="112"/>
      <c r="P17" s="112"/>
      <c r="Q17" s="120"/>
      <c r="R17" s="85" t="e">
        <f t="shared" ca="1" si="1"/>
        <v>#NAME?</v>
      </c>
      <c r="S17" s="83"/>
      <c r="T17" s="90"/>
      <c r="U17" s="91"/>
      <c r="V17" s="91"/>
      <c r="W17" s="91"/>
      <c r="X17" s="91"/>
      <c r="Y17" s="91"/>
      <c r="Z17" s="19"/>
      <c r="AA17" s="24"/>
      <c r="AB17" s="24"/>
      <c r="AC17" s="24"/>
      <c r="AD17" s="83"/>
      <c r="AE17" s="111">
        <v>47.462299999999999</v>
      </c>
      <c r="AF17" s="112">
        <v>44.5593</v>
      </c>
      <c r="AG17" s="120">
        <v>44.591000000000001</v>
      </c>
      <c r="AI17" s="141"/>
      <c r="AJ17" s="141"/>
      <c r="AK17" s="141"/>
      <c r="AL17" s="141"/>
    </row>
    <row r="18" spans="1:38" ht="15" customHeight="1" x14ac:dyDescent="0.2">
      <c r="B18" s="38"/>
      <c r="C18" s="19">
        <v>37</v>
      </c>
      <c r="D18" s="24"/>
      <c r="E18" s="24"/>
      <c r="F18" s="24"/>
      <c r="G18" s="24"/>
      <c r="H18" s="101"/>
      <c r="I18" s="102"/>
      <c r="J18" s="86" t="e">
        <f t="shared" ca="1" si="0"/>
        <v>#NAME?</v>
      </c>
      <c r="K18" s="19"/>
      <c r="L18" s="111"/>
      <c r="M18" s="112"/>
      <c r="N18" s="112"/>
      <c r="O18" s="112"/>
      <c r="P18" s="112"/>
      <c r="Q18" s="120"/>
      <c r="R18" s="86" t="e">
        <f t="shared" ca="1" si="1"/>
        <v>#NAME?</v>
      </c>
      <c r="S18" s="83"/>
      <c r="T18" s="90"/>
      <c r="U18" s="91"/>
      <c r="V18" s="91"/>
      <c r="W18" s="91"/>
      <c r="X18" s="91"/>
      <c r="Y18" s="91"/>
      <c r="Z18" s="19"/>
      <c r="AA18" s="24"/>
      <c r="AB18" s="24"/>
      <c r="AC18" s="24"/>
      <c r="AD18" s="83"/>
      <c r="AE18" s="111">
        <v>42.038899999999998</v>
      </c>
      <c r="AF18" s="112">
        <v>38.212699999999998</v>
      </c>
      <c r="AG18" s="120">
        <v>38.421799999999998</v>
      </c>
      <c r="AI18" s="141"/>
      <c r="AJ18" s="141"/>
      <c r="AK18" s="141"/>
      <c r="AL18" s="141"/>
    </row>
    <row r="19" spans="1:38" ht="15" customHeight="1" x14ac:dyDescent="0.2">
      <c r="B19" s="48" t="s">
        <v>42</v>
      </c>
      <c r="C19" s="61">
        <v>22</v>
      </c>
      <c r="D19" s="31"/>
      <c r="E19" s="31"/>
      <c r="F19" s="31"/>
      <c r="G19" s="31"/>
      <c r="H19" s="105"/>
      <c r="I19" s="106"/>
      <c r="J19" s="85" t="e">
        <f t="shared" ca="1" si="0"/>
        <v>#NAME?</v>
      </c>
      <c r="K19" s="19"/>
      <c r="L19" s="115"/>
      <c r="M19" s="116"/>
      <c r="N19" s="116"/>
      <c r="O19" s="116"/>
      <c r="P19" s="116"/>
      <c r="Q19" s="125"/>
      <c r="R19" s="85" t="e">
        <f t="shared" ca="1" si="1"/>
        <v>#NAME?</v>
      </c>
      <c r="S19" s="83"/>
      <c r="T19" s="94" t="e">
        <f ca="1">bdrate(D19:D22,E19:E22,L19:L22,M19:M22)</f>
        <v>#NAME?</v>
      </c>
      <c r="U19" s="95" t="e">
        <f ca="1">bdrate(D19:D22,F19:F22,L19:L22,N19:N22)</f>
        <v>#NAME?</v>
      </c>
      <c r="V19" s="95" t="e">
        <f ca="1">bdrate(D19:D22,G19:G22,L19:L22,O19:O22)</f>
        <v>#NAME?</v>
      </c>
      <c r="W19" s="95" t="e">
        <f ca="1">bdrateOld(D19:D22,E19:E22,L19:L22,M19:M22)</f>
        <v>#NAME?</v>
      </c>
      <c r="X19" s="95" t="e">
        <f ca="1">bdrateOld(D19:D22,F19:F22,L19:L22,N19:N22)</f>
        <v>#NAME?</v>
      </c>
      <c r="Y19" s="95" t="e">
        <f ca="1">bdrateOld(D19:D22,G19:G22,L19:L22,O19:O22)</f>
        <v>#NAME?</v>
      </c>
      <c r="Z19" s="19"/>
      <c r="AA19" s="31"/>
      <c r="AB19" s="31"/>
      <c r="AC19" s="31"/>
      <c r="AD19" s="83"/>
      <c r="AE19" s="115">
        <v>49.642200000000003</v>
      </c>
      <c r="AF19" s="116">
        <v>47.782400000000003</v>
      </c>
      <c r="AG19" s="125">
        <v>48.658099999999997</v>
      </c>
      <c r="AI19" s="141"/>
      <c r="AJ19" s="141"/>
      <c r="AK19" s="141"/>
      <c r="AL19" s="141"/>
    </row>
    <row r="20" spans="1:38" ht="15" customHeight="1" x14ac:dyDescent="0.2">
      <c r="B20" s="36"/>
      <c r="C20" s="19">
        <v>27</v>
      </c>
      <c r="D20" s="24"/>
      <c r="E20" s="24"/>
      <c r="F20" s="24"/>
      <c r="G20" s="24"/>
      <c r="H20" s="101"/>
      <c r="I20" s="102"/>
      <c r="J20" s="85" t="e">
        <f t="shared" ca="1" si="0"/>
        <v>#NAME?</v>
      </c>
      <c r="K20" s="19"/>
      <c r="L20" s="111"/>
      <c r="M20" s="112"/>
      <c r="N20" s="112"/>
      <c r="O20" s="112"/>
      <c r="P20" s="112"/>
      <c r="Q20" s="120"/>
      <c r="R20" s="85" t="e">
        <f t="shared" ca="1" si="1"/>
        <v>#NAME?</v>
      </c>
      <c r="S20" s="83"/>
      <c r="T20" s="90"/>
      <c r="U20" s="91"/>
      <c r="V20" s="91"/>
      <c r="W20" s="91"/>
      <c r="X20" s="91"/>
      <c r="Y20" s="91"/>
      <c r="Z20" s="19"/>
      <c r="AA20" s="24"/>
      <c r="AB20" s="24"/>
      <c r="AC20" s="24"/>
      <c r="AD20" s="83"/>
      <c r="AE20" s="111">
        <v>45.3386</v>
      </c>
      <c r="AF20" s="112">
        <v>43.507199999999997</v>
      </c>
      <c r="AG20" s="120">
        <v>44.565199999999997</v>
      </c>
      <c r="AI20" s="141"/>
      <c r="AJ20" s="141"/>
      <c r="AK20" s="141"/>
      <c r="AL20" s="141"/>
    </row>
    <row r="21" spans="1:38" ht="15" customHeight="1" x14ac:dyDescent="0.2">
      <c r="B21" s="48"/>
      <c r="C21" s="19">
        <v>32</v>
      </c>
      <c r="D21" s="24"/>
      <c r="E21" s="24"/>
      <c r="F21" s="24"/>
      <c r="G21" s="24"/>
      <c r="H21" s="101"/>
      <c r="I21" s="102"/>
      <c r="J21" s="85" t="e">
        <f t="shared" ca="1" si="0"/>
        <v>#NAME?</v>
      </c>
      <c r="K21" s="19"/>
      <c r="L21" s="111"/>
      <c r="M21" s="112"/>
      <c r="N21" s="112"/>
      <c r="O21" s="112"/>
      <c r="P21" s="112"/>
      <c r="Q21" s="120"/>
      <c r="R21" s="85" t="e">
        <f t="shared" ca="1" si="1"/>
        <v>#NAME?</v>
      </c>
      <c r="S21" s="83"/>
      <c r="T21" s="90"/>
      <c r="U21" s="91"/>
      <c r="V21" s="91"/>
      <c r="W21" s="91"/>
      <c r="X21" s="91"/>
      <c r="Y21" s="91"/>
      <c r="Z21" s="19"/>
      <c r="AA21" s="24"/>
      <c r="AB21" s="24"/>
      <c r="AC21" s="24"/>
      <c r="AD21" s="83"/>
      <c r="AE21" s="111">
        <v>40.8748</v>
      </c>
      <c r="AF21" s="112">
        <v>39.112000000000002</v>
      </c>
      <c r="AG21" s="120">
        <v>40.431100000000001</v>
      </c>
      <c r="AI21" s="141"/>
      <c r="AJ21" s="141"/>
      <c r="AK21" s="141"/>
      <c r="AL21" s="141"/>
    </row>
    <row r="22" spans="1:38" ht="15" customHeight="1" x14ac:dyDescent="0.2">
      <c r="B22" s="36"/>
      <c r="C22" s="60">
        <v>37</v>
      </c>
      <c r="D22" s="25"/>
      <c r="E22" s="25"/>
      <c r="F22" s="25"/>
      <c r="G22" s="25"/>
      <c r="H22" s="103"/>
      <c r="I22" s="104"/>
      <c r="J22" s="86" t="e">
        <f t="shared" ca="1" si="0"/>
        <v>#NAME?</v>
      </c>
      <c r="K22" s="19"/>
      <c r="L22" s="113"/>
      <c r="M22" s="114"/>
      <c r="N22" s="114"/>
      <c r="O22" s="114"/>
      <c r="P22" s="114"/>
      <c r="Q22" s="121"/>
      <c r="R22" s="86" t="e">
        <f t="shared" ca="1" si="1"/>
        <v>#NAME?</v>
      </c>
      <c r="S22" s="83"/>
      <c r="T22" s="92"/>
      <c r="U22" s="93"/>
      <c r="V22" s="93"/>
      <c r="W22" s="93"/>
      <c r="X22" s="93"/>
      <c r="Y22" s="93"/>
      <c r="Z22" s="19"/>
      <c r="AA22" s="25"/>
      <c r="AB22" s="25"/>
      <c r="AC22" s="25"/>
      <c r="AD22" s="83"/>
      <c r="AE22" s="113">
        <v>36.386600000000001</v>
      </c>
      <c r="AF22" s="114">
        <v>34.567</v>
      </c>
      <c r="AG22" s="121">
        <v>36.121400000000001</v>
      </c>
      <c r="AI22" s="141"/>
      <c r="AJ22" s="141"/>
      <c r="AK22" s="141"/>
      <c r="AL22" s="141"/>
    </row>
    <row r="23" spans="1:38" ht="15" customHeight="1" x14ac:dyDescent="0.2">
      <c r="B23" s="37" t="s">
        <v>43</v>
      </c>
      <c r="C23" s="19">
        <v>22</v>
      </c>
      <c r="D23" s="31"/>
      <c r="E23" s="31"/>
      <c r="F23" s="31"/>
      <c r="G23" s="31"/>
      <c r="H23" s="105"/>
      <c r="I23" s="106"/>
      <c r="J23" s="85" t="e">
        <f t="shared" ca="1" si="0"/>
        <v>#NAME?</v>
      </c>
      <c r="K23" s="19"/>
      <c r="L23" s="115"/>
      <c r="M23" s="116"/>
      <c r="N23" s="116"/>
      <c r="O23" s="116"/>
      <c r="P23" s="116"/>
      <c r="Q23" s="125"/>
      <c r="R23" s="85" t="e">
        <f t="shared" ca="1" si="1"/>
        <v>#NAME?</v>
      </c>
      <c r="S23" s="83"/>
      <c r="T23" s="94" t="e">
        <f ca="1">bdrate(D23:D26,E23:E26,L23:L26,M23:M26)</f>
        <v>#NAME?</v>
      </c>
      <c r="U23" s="95" t="e">
        <f ca="1">bdrate(D23:D26,F23:F26,L23:L26,N23:N26)</f>
        <v>#NAME?</v>
      </c>
      <c r="V23" s="95" t="e">
        <f ca="1">bdrate(D23:D26,G23:G26,L23:L26,O23:O26)</f>
        <v>#NAME?</v>
      </c>
      <c r="W23" s="95" t="e">
        <f ca="1">bdrateOld(D23:D26,E23:E26,L23:L26,M23:M26)</f>
        <v>#NAME?</v>
      </c>
      <c r="X23" s="95" t="e">
        <f ca="1">bdrateOld(D23:D26,F23:F26,L23:L26,N23:N26)</f>
        <v>#NAME?</v>
      </c>
      <c r="Y23" s="95" t="e">
        <f ca="1">bdrateOld(D23:D26,G23:G26,L23:L26,O23:O26)</f>
        <v>#NAME?</v>
      </c>
      <c r="Z23" s="19"/>
      <c r="AA23" s="31"/>
      <c r="AB23" s="31"/>
      <c r="AC23" s="31"/>
      <c r="AD23" s="83"/>
      <c r="AE23" s="115">
        <v>47.771900000000002</v>
      </c>
      <c r="AF23" s="116">
        <v>45.660800000000002</v>
      </c>
      <c r="AG23" s="125">
        <v>45.857799999999997</v>
      </c>
      <c r="AI23" s="141"/>
      <c r="AJ23" s="141"/>
      <c r="AK23" s="141"/>
      <c r="AL23" s="141"/>
    </row>
    <row r="24" spans="1:38" ht="15" customHeight="1" x14ac:dyDescent="0.2">
      <c r="B24" s="36"/>
      <c r="C24" s="19">
        <v>27</v>
      </c>
      <c r="D24" s="24"/>
      <c r="E24" s="24"/>
      <c r="F24" s="24"/>
      <c r="G24" s="24"/>
      <c r="H24" s="101"/>
      <c r="I24" s="102"/>
      <c r="J24" s="85" t="e">
        <f t="shared" ca="1" si="0"/>
        <v>#NAME?</v>
      </c>
      <c r="K24" s="19"/>
      <c r="L24" s="111"/>
      <c r="M24" s="112"/>
      <c r="N24" s="112"/>
      <c r="O24" s="112"/>
      <c r="P24" s="112"/>
      <c r="Q24" s="120"/>
      <c r="R24" s="85" t="e">
        <f t="shared" ca="1" si="1"/>
        <v>#NAME?</v>
      </c>
      <c r="S24" s="83"/>
      <c r="T24" s="90"/>
      <c r="U24" s="91"/>
      <c r="V24" s="91"/>
      <c r="W24" s="91"/>
      <c r="X24" s="91"/>
      <c r="Y24" s="91"/>
      <c r="Z24" s="19"/>
      <c r="AA24" s="24"/>
      <c r="AB24" s="24"/>
      <c r="AC24" s="24"/>
      <c r="AD24" s="83"/>
      <c r="AE24" s="111">
        <v>43.634799999999998</v>
      </c>
      <c r="AF24" s="112">
        <v>40.385100000000001</v>
      </c>
      <c r="AG24" s="120">
        <v>41.42</v>
      </c>
      <c r="AI24" s="141"/>
      <c r="AJ24" s="141"/>
      <c r="AK24" s="141"/>
      <c r="AL24" s="141"/>
    </row>
    <row r="25" spans="1:38" ht="15" customHeight="1" x14ac:dyDescent="0.2">
      <c r="B25" s="36"/>
      <c r="C25" s="19">
        <v>32</v>
      </c>
      <c r="D25" s="24"/>
      <c r="E25" s="24"/>
      <c r="F25" s="24"/>
      <c r="G25" s="24"/>
      <c r="H25" s="101"/>
      <c r="I25" s="102"/>
      <c r="J25" s="85" t="e">
        <f t="shared" ca="1" si="0"/>
        <v>#NAME?</v>
      </c>
      <c r="K25" s="19"/>
      <c r="L25" s="111"/>
      <c r="M25" s="112"/>
      <c r="N25" s="112"/>
      <c r="O25" s="112"/>
      <c r="P25" s="112"/>
      <c r="Q25" s="120"/>
      <c r="R25" s="85" t="e">
        <f t="shared" ca="1" si="1"/>
        <v>#NAME?</v>
      </c>
      <c r="S25" s="83"/>
      <c r="T25" s="90"/>
      <c r="U25" s="91"/>
      <c r="V25" s="91"/>
      <c r="W25" s="91"/>
      <c r="X25" s="91"/>
      <c r="Y25" s="91"/>
      <c r="Z25" s="19"/>
      <c r="AA25" s="24"/>
      <c r="AB25" s="24"/>
      <c r="AC25" s="24"/>
      <c r="AD25" s="83"/>
      <c r="AE25" s="111">
        <v>39.540399999999998</v>
      </c>
      <c r="AF25" s="112">
        <v>35.588200000000001</v>
      </c>
      <c r="AG25" s="120">
        <v>37.131799999999998</v>
      </c>
      <c r="AI25" s="141"/>
      <c r="AJ25" s="141"/>
      <c r="AK25" s="141"/>
      <c r="AL25" s="141"/>
    </row>
    <row r="26" spans="1:38" ht="15" customHeight="1" x14ac:dyDescent="0.2">
      <c r="B26" s="48"/>
      <c r="C26" s="19">
        <v>37</v>
      </c>
      <c r="D26" s="25"/>
      <c r="E26" s="25"/>
      <c r="F26" s="25"/>
      <c r="G26" s="25"/>
      <c r="H26" s="103"/>
      <c r="I26" s="104"/>
      <c r="J26" s="86" t="e">
        <f t="shared" ca="1" si="0"/>
        <v>#NAME?</v>
      </c>
      <c r="K26" s="19"/>
      <c r="L26" s="113"/>
      <c r="M26" s="114"/>
      <c r="N26" s="114"/>
      <c r="O26" s="114"/>
      <c r="P26" s="114"/>
      <c r="Q26" s="121"/>
      <c r="R26" s="86" t="e">
        <f t="shared" ca="1" si="1"/>
        <v>#NAME?</v>
      </c>
      <c r="S26" s="83"/>
      <c r="T26" s="92"/>
      <c r="U26" s="93"/>
      <c r="V26" s="93"/>
      <c r="W26" s="93"/>
      <c r="X26" s="93"/>
      <c r="Y26" s="93"/>
      <c r="Z26" s="19"/>
      <c r="AA26" s="25"/>
      <c r="AB26" s="25"/>
      <c r="AC26" s="25"/>
      <c r="AD26" s="83"/>
      <c r="AE26" s="113">
        <v>35.521999999999998</v>
      </c>
      <c r="AF26" s="114">
        <v>31.398800000000001</v>
      </c>
      <c r="AG26" s="121">
        <v>32.971600000000002</v>
      </c>
      <c r="AI26" s="141"/>
      <c r="AJ26" s="141"/>
      <c r="AK26" s="141"/>
      <c r="AL26" s="141"/>
    </row>
    <row r="27" spans="1:38" ht="15" customHeight="1" x14ac:dyDescent="0.2">
      <c r="B27" s="37" t="s">
        <v>44</v>
      </c>
      <c r="C27" s="61">
        <v>22</v>
      </c>
      <c r="D27" s="24"/>
      <c r="E27" s="24"/>
      <c r="F27" s="24"/>
      <c r="G27" s="24"/>
      <c r="H27" s="101"/>
      <c r="I27" s="102"/>
      <c r="J27" s="85" t="e">
        <f t="shared" ca="1" si="0"/>
        <v>#NAME?</v>
      </c>
      <c r="K27" s="19"/>
      <c r="L27" s="111"/>
      <c r="M27" s="112"/>
      <c r="N27" s="112"/>
      <c r="O27" s="112"/>
      <c r="P27" s="112"/>
      <c r="Q27" s="120"/>
      <c r="R27" s="85" t="e">
        <f t="shared" ca="1" si="1"/>
        <v>#NAME?</v>
      </c>
      <c r="S27" s="83"/>
      <c r="T27" s="90" t="e">
        <f ca="1">bdrate(D27:D30,E27:E30,L27:L30,M27:M30)</f>
        <v>#NAME?</v>
      </c>
      <c r="U27" s="91" t="e">
        <f ca="1">bdrate(D27:D30,F27:F30,L27:L30,N27:N30)</f>
        <v>#NAME?</v>
      </c>
      <c r="V27" s="91" t="e">
        <f ca="1">bdrate(D27:D30,G27:G30,L27:L30,O27:O30)</f>
        <v>#NAME?</v>
      </c>
      <c r="W27" s="91" t="e">
        <f ca="1">bdrateOld(D27:D30,E27:E30,L27:L30,M27:M30)</f>
        <v>#NAME?</v>
      </c>
      <c r="X27" s="91" t="e">
        <f ca="1">bdrateOld(D27:D30,F27:F30,L27:L30,N27:N30)</f>
        <v>#NAME?</v>
      </c>
      <c r="Y27" s="91" t="e">
        <f ca="1">bdrateOld(D27:D30,G27:G30,L27:L30,O27:O30)</f>
        <v>#NAME?</v>
      </c>
      <c r="Z27" s="19"/>
      <c r="AA27" s="24"/>
      <c r="AB27" s="24"/>
      <c r="AC27" s="24"/>
      <c r="AD27" s="83"/>
      <c r="AE27" s="111">
        <v>51.207000000000001</v>
      </c>
      <c r="AF27" s="112">
        <v>49.796700000000001</v>
      </c>
      <c r="AG27" s="120">
        <v>50.321300000000001</v>
      </c>
      <c r="AI27" s="141"/>
      <c r="AJ27" s="141"/>
      <c r="AK27" s="141"/>
      <c r="AL27" s="141"/>
    </row>
    <row r="28" spans="1:38" ht="15" customHeight="1" x14ac:dyDescent="0.2">
      <c r="B28" s="48"/>
      <c r="C28" s="19">
        <v>27</v>
      </c>
      <c r="D28" s="24"/>
      <c r="E28" s="24"/>
      <c r="F28" s="24"/>
      <c r="G28" s="24"/>
      <c r="H28" s="101"/>
      <c r="I28" s="102"/>
      <c r="J28" s="85" t="e">
        <f t="shared" ca="1" si="0"/>
        <v>#NAME?</v>
      </c>
      <c r="K28" s="19"/>
      <c r="L28" s="111"/>
      <c r="M28" s="112"/>
      <c r="N28" s="112"/>
      <c r="O28" s="112"/>
      <c r="P28" s="112"/>
      <c r="Q28" s="120"/>
      <c r="R28" s="85" t="e">
        <f t="shared" ca="1" si="1"/>
        <v>#NAME?</v>
      </c>
      <c r="S28" s="83"/>
      <c r="T28" s="90"/>
      <c r="U28" s="91"/>
      <c r="V28" s="91"/>
      <c r="W28" s="91"/>
      <c r="X28" s="91"/>
      <c r="Y28" s="91"/>
      <c r="Z28" s="19"/>
      <c r="AA28" s="24"/>
      <c r="AB28" s="24"/>
      <c r="AC28" s="24"/>
      <c r="AD28" s="83"/>
      <c r="AE28" s="111">
        <v>47.536099999999998</v>
      </c>
      <c r="AF28" s="112">
        <v>45.886400000000002</v>
      </c>
      <c r="AG28" s="120">
        <v>46.523499999999999</v>
      </c>
      <c r="AI28" s="141"/>
      <c r="AJ28" s="141"/>
      <c r="AK28" s="141"/>
      <c r="AL28" s="141"/>
    </row>
    <row r="29" spans="1:38" ht="15" customHeight="1" x14ac:dyDescent="0.2">
      <c r="B29" s="48"/>
      <c r="C29" s="19">
        <v>32</v>
      </c>
      <c r="D29" s="24"/>
      <c r="E29" s="24"/>
      <c r="F29" s="24"/>
      <c r="G29" s="24"/>
      <c r="H29" s="101"/>
      <c r="I29" s="102"/>
      <c r="J29" s="85" t="e">
        <f t="shared" ca="1" si="0"/>
        <v>#NAME?</v>
      </c>
      <c r="K29" s="19"/>
      <c r="L29" s="111"/>
      <c r="M29" s="112"/>
      <c r="N29" s="112"/>
      <c r="O29" s="112"/>
      <c r="P29" s="112"/>
      <c r="Q29" s="120"/>
      <c r="R29" s="85" t="e">
        <f t="shared" ca="1" si="1"/>
        <v>#NAME?</v>
      </c>
      <c r="S29" s="83"/>
      <c r="T29" s="90"/>
      <c r="U29" s="91"/>
      <c r="V29" s="91"/>
      <c r="W29" s="91"/>
      <c r="X29" s="91"/>
      <c r="Y29" s="91"/>
      <c r="Z29" s="19"/>
      <c r="AA29" s="24"/>
      <c r="AB29" s="24"/>
      <c r="AC29" s="24"/>
      <c r="AD29" s="83"/>
      <c r="AE29" s="111">
        <v>43.9711</v>
      </c>
      <c r="AF29" s="112">
        <v>42.187600000000003</v>
      </c>
      <c r="AG29" s="120">
        <v>42.878700000000002</v>
      </c>
      <c r="AI29" s="141"/>
      <c r="AJ29" s="141"/>
      <c r="AK29" s="141"/>
      <c r="AL29" s="141"/>
    </row>
    <row r="30" spans="1:38" ht="15" customHeight="1" thickBot="1" x14ac:dyDescent="0.25">
      <c r="B30" s="78"/>
      <c r="C30" s="20">
        <v>37</v>
      </c>
      <c r="D30" s="33"/>
      <c r="E30" s="33"/>
      <c r="F30" s="33"/>
      <c r="G30" s="33"/>
      <c r="H30" s="107"/>
      <c r="I30" s="108"/>
      <c r="J30" s="87" t="e">
        <f t="shared" ca="1" si="0"/>
        <v>#NAME?</v>
      </c>
      <c r="K30" s="19"/>
      <c r="L30" s="117"/>
      <c r="M30" s="118"/>
      <c r="N30" s="118"/>
      <c r="O30" s="118"/>
      <c r="P30" s="118"/>
      <c r="Q30" s="124"/>
      <c r="R30" s="87" t="e">
        <f t="shared" ca="1" si="1"/>
        <v>#NAME?</v>
      </c>
      <c r="S30" s="83"/>
      <c r="T30" s="96"/>
      <c r="U30" s="97"/>
      <c r="V30" s="97"/>
      <c r="W30" s="97"/>
      <c r="X30" s="97"/>
      <c r="Y30" s="97"/>
      <c r="Z30" s="19"/>
      <c r="AA30" s="33"/>
      <c r="AB30" s="33"/>
      <c r="AC30" s="33"/>
      <c r="AD30" s="83"/>
      <c r="AE30" s="117">
        <v>40.379899999999999</v>
      </c>
      <c r="AF30" s="118">
        <v>38.524299999999997</v>
      </c>
      <c r="AG30" s="124">
        <v>39.290399999999998</v>
      </c>
      <c r="AI30" s="141"/>
      <c r="AJ30" s="141"/>
      <c r="AK30" s="141"/>
      <c r="AL30" s="141"/>
    </row>
    <row r="31" spans="1:38" ht="15" customHeight="1" x14ac:dyDescent="0.25">
      <c r="A31" s="54" t="s">
        <v>23</v>
      </c>
      <c r="B31" s="34" t="s">
        <v>45</v>
      </c>
      <c r="C31" s="18">
        <v>22</v>
      </c>
      <c r="D31" s="43"/>
      <c r="E31" s="43"/>
      <c r="F31" s="43"/>
      <c r="G31" s="43"/>
      <c r="H31" s="99"/>
      <c r="I31" s="100"/>
      <c r="J31" s="85" t="e">
        <f t="shared" ca="1" si="0"/>
        <v>#NAME?</v>
      </c>
      <c r="K31" s="19"/>
      <c r="L31" s="111"/>
      <c r="M31" s="112"/>
      <c r="N31" s="112"/>
      <c r="O31" s="112"/>
      <c r="P31" s="112"/>
      <c r="Q31" s="120"/>
      <c r="R31" s="85" t="e">
        <f t="shared" ca="1" si="1"/>
        <v>#NAME?</v>
      </c>
      <c r="S31" s="83"/>
      <c r="T31" s="90" t="e">
        <f ca="1">bdrate(D31:D34,E31:E34,L31:L34,M31:M34)</f>
        <v>#NAME?</v>
      </c>
      <c r="U31" s="91" t="e">
        <f ca="1">bdrate(D31:D34,F31:F34,L31:L34,N31:N34)</f>
        <v>#NAME?</v>
      </c>
      <c r="V31" s="91" t="e">
        <f ca="1">bdrate(D31:D34,G31:G34,L31:L34,O31:O34)</f>
        <v>#NAME?</v>
      </c>
      <c r="W31" s="91" t="e">
        <f ca="1">bdrateOld(D31:D34,E31:E34,L31:L34,M31:M34)</f>
        <v>#NAME?</v>
      </c>
      <c r="X31" s="91" t="e">
        <f ca="1">bdrateOld(D31:D34,F31:F34,L31:L34,N31:N34)</f>
        <v>#NAME?</v>
      </c>
      <c r="Y31" s="91" t="e">
        <f ca="1">bdrateOld(D31:D34,G31:G34,L31:L34,O31:O34)</f>
        <v>#NAME?</v>
      </c>
      <c r="Z31" s="19"/>
      <c r="AA31" s="43"/>
      <c r="AB31" s="43"/>
      <c r="AC31" s="43"/>
      <c r="AD31" s="83"/>
      <c r="AE31" s="111">
        <v>47.802199999999999</v>
      </c>
      <c r="AF31" s="112">
        <v>45.711599999999997</v>
      </c>
      <c r="AG31" s="120">
        <v>45.858800000000002</v>
      </c>
      <c r="AI31" s="141"/>
      <c r="AJ31" s="141"/>
      <c r="AK31" s="141"/>
      <c r="AL31" s="141"/>
    </row>
    <row r="32" spans="1:38" ht="15" customHeight="1" x14ac:dyDescent="0.2">
      <c r="B32" s="36"/>
      <c r="C32" s="19">
        <v>27</v>
      </c>
      <c r="D32" s="24"/>
      <c r="E32" s="24"/>
      <c r="F32" s="24"/>
      <c r="G32" s="24"/>
      <c r="H32" s="101"/>
      <c r="I32" s="102"/>
      <c r="J32" s="85" t="e">
        <f t="shared" ca="1" si="0"/>
        <v>#NAME?</v>
      </c>
      <c r="K32" s="19"/>
      <c r="L32" s="111"/>
      <c r="M32" s="112"/>
      <c r="N32" s="112"/>
      <c r="O32" s="112"/>
      <c r="P32" s="112"/>
      <c r="Q32" s="120"/>
      <c r="R32" s="85" t="e">
        <f t="shared" ca="1" si="1"/>
        <v>#NAME?</v>
      </c>
      <c r="S32" s="83"/>
      <c r="T32" s="90"/>
      <c r="U32" s="91"/>
      <c r="V32" s="91"/>
      <c r="W32" s="91"/>
      <c r="X32" s="91"/>
      <c r="Y32" s="91"/>
      <c r="Z32" s="19"/>
      <c r="AA32" s="24"/>
      <c r="AB32" s="24"/>
      <c r="AC32" s="24"/>
      <c r="AD32" s="83"/>
      <c r="AE32" s="111">
        <v>44.4542</v>
      </c>
      <c r="AF32" s="112">
        <v>42.411799999999999</v>
      </c>
      <c r="AG32" s="120">
        <v>42.4131</v>
      </c>
      <c r="AI32" s="141"/>
      <c r="AJ32" s="141"/>
      <c r="AK32" s="141"/>
      <c r="AL32" s="141"/>
    </row>
    <row r="33" spans="1:38" ht="15" customHeight="1" x14ac:dyDescent="0.2">
      <c r="B33" s="36"/>
      <c r="C33" s="19">
        <v>32</v>
      </c>
      <c r="D33" s="24"/>
      <c r="E33" s="24"/>
      <c r="F33" s="24"/>
      <c r="G33" s="24"/>
      <c r="H33" s="101"/>
      <c r="I33" s="102"/>
      <c r="J33" s="85" t="e">
        <f t="shared" ca="1" si="0"/>
        <v>#NAME?</v>
      </c>
      <c r="K33" s="19"/>
      <c r="L33" s="111"/>
      <c r="M33" s="112"/>
      <c r="N33" s="112"/>
      <c r="O33" s="112"/>
      <c r="P33" s="112"/>
      <c r="Q33" s="120"/>
      <c r="R33" s="85" t="e">
        <f t="shared" ca="1" si="1"/>
        <v>#NAME?</v>
      </c>
      <c r="S33" s="83"/>
      <c r="T33" s="90"/>
      <c r="U33" s="91"/>
      <c r="V33" s="91"/>
      <c r="W33" s="91"/>
      <c r="X33" s="91"/>
      <c r="Y33" s="91"/>
      <c r="Z33" s="19"/>
      <c r="AA33" s="24"/>
      <c r="AB33" s="24"/>
      <c r="AC33" s="24"/>
      <c r="AD33" s="83"/>
      <c r="AE33" s="111">
        <v>41.095399999999998</v>
      </c>
      <c r="AF33" s="112">
        <v>39.0595</v>
      </c>
      <c r="AG33" s="120">
        <v>38.951300000000003</v>
      </c>
      <c r="AI33" s="141"/>
      <c r="AJ33" s="141"/>
      <c r="AK33" s="141"/>
      <c r="AL33" s="141"/>
    </row>
    <row r="34" spans="1:38" ht="15" customHeight="1" x14ac:dyDescent="0.2">
      <c r="B34" s="36"/>
      <c r="C34" s="60">
        <v>37</v>
      </c>
      <c r="D34" s="25"/>
      <c r="E34" s="25"/>
      <c r="F34" s="25"/>
      <c r="G34" s="25"/>
      <c r="H34" s="103"/>
      <c r="I34" s="104"/>
      <c r="J34" s="86" t="e">
        <f t="shared" ca="1" si="0"/>
        <v>#NAME?</v>
      </c>
      <c r="K34" s="19"/>
      <c r="L34" s="113"/>
      <c r="M34" s="114"/>
      <c r="N34" s="114"/>
      <c r="O34" s="114"/>
      <c r="P34" s="114"/>
      <c r="Q34" s="121"/>
      <c r="R34" s="86" t="e">
        <f t="shared" ca="1" si="1"/>
        <v>#NAME?</v>
      </c>
      <c r="S34" s="83"/>
      <c r="T34" s="92"/>
      <c r="U34" s="93"/>
      <c r="V34" s="93"/>
      <c r="W34" s="93"/>
      <c r="X34" s="93"/>
      <c r="Y34" s="93"/>
      <c r="Z34" s="19"/>
      <c r="AA34" s="25"/>
      <c r="AB34" s="25"/>
      <c r="AC34" s="25"/>
      <c r="AD34" s="83"/>
      <c r="AE34" s="113">
        <v>37.534999999999997</v>
      </c>
      <c r="AF34" s="114">
        <v>35.4223</v>
      </c>
      <c r="AG34" s="121">
        <v>35.24</v>
      </c>
      <c r="AI34" s="141"/>
      <c r="AJ34" s="141"/>
      <c r="AK34" s="141"/>
      <c r="AL34" s="141"/>
    </row>
    <row r="35" spans="1:38" ht="15" customHeight="1" x14ac:dyDescent="0.2">
      <c r="B35" s="37" t="s">
        <v>46</v>
      </c>
      <c r="C35" s="19">
        <v>22</v>
      </c>
      <c r="D35" s="24"/>
      <c r="E35" s="24"/>
      <c r="F35" s="24"/>
      <c r="G35" s="24"/>
      <c r="H35" s="101"/>
      <c r="I35" s="102"/>
      <c r="J35" s="85" t="e">
        <f t="shared" ca="1" si="0"/>
        <v>#NAME?</v>
      </c>
      <c r="K35" s="19"/>
      <c r="L35" s="111"/>
      <c r="M35" s="112"/>
      <c r="N35" s="112"/>
      <c r="O35" s="112"/>
      <c r="P35" s="112"/>
      <c r="Q35" s="120"/>
      <c r="R35" s="85" t="e">
        <f t="shared" ca="1" si="1"/>
        <v>#NAME?</v>
      </c>
      <c r="S35" s="83"/>
      <c r="T35" s="90" t="e">
        <f ca="1">bdrate(D35:D38,E35:E38,L35:L38,M35:M38)</f>
        <v>#NAME?</v>
      </c>
      <c r="U35" s="91" t="e">
        <f ca="1">bdrate(D35:D38,F35:F38,L35:L38,N35:N38)</f>
        <v>#NAME?</v>
      </c>
      <c r="V35" s="91" t="e">
        <f ca="1">bdrate(D35:D38,G35:G38,L35:L38,O35:O38)</f>
        <v>#NAME?</v>
      </c>
      <c r="W35" s="91" t="e">
        <f ca="1">bdrateOld(D35:D38,E35:E38,L35:L38,M35:M38)</f>
        <v>#NAME?</v>
      </c>
      <c r="X35" s="91" t="e">
        <f ca="1">bdrateOld(D35:D38,F35:F38,L35:L38,N35:N38)</f>
        <v>#NAME?</v>
      </c>
      <c r="Y35" s="91" t="e">
        <f ca="1">bdrateOld(D35:D38,G35:G38,L35:L38,O35:O38)</f>
        <v>#NAME?</v>
      </c>
      <c r="Z35" s="19"/>
      <c r="AA35" s="24"/>
      <c r="AB35" s="24"/>
      <c r="AC35" s="24"/>
      <c r="AD35" s="83"/>
      <c r="AE35" s="111">
        <v>47.3568</v>
      </c>
      <c r="AF35" s="112">
        <v>46.047699999999999</v>
      </c>
      <c r="AG35" s="120">
        <v>46.2271</v>
      </c>
      <c r="AI35" s="141"/>
      <c r="AJ35" s="141"/>
      <c r="AK35" s="141"/>
      <c r="AL35" s="141"/>
    </row>
    <row r="36" spans="1:38" ht="15" customHeight="1" x14ac:dyDescent="0.2">
      <c r="B36" s="36"/>
      <c r="C36" s="19">
        <v>27</v>
      </c>
      <c r="D36" s="24"/>
      <c r="E36" s="24"/>
      <c r="F36" s="24"/>
      <c r="G36" s="24"/>
      <c r="H36" s="101"/>
      <c r="I36" s="102"/>
      <c r="J36" s="85" t="e">
        <f t="shared" ca="1" si="0"/>
        <v>#NAME?</v>
      </c>
      <c r="K36" s="19"/>
      <c r="L36" s="111"/>
      <c r="M36" s="112"/>
      <c r="N36" s="112"/>
      <c r="O36" s="112"/>
      <c r="P36" s="112"/>
      <c r="Q36" s="120"/>
      <c r="R36" s="85" t="e">
        <f t="shared" ca="1" si="1"/>
        <v>#NAME?</v>
      </c>
      <c r="S36" s="83"/>
      <c r="T36" s="90"/>
      <c r="U36" s="91"/>
      <c r="V36" s="91"/>
      <c r="W36" s="91"/>
      <c r="X36" s="91"/>
      <c r="Y36" s="91"/>
      <c r="Z36" s="19"/>
      <c r="AA36" s="24"/>
      <c r="AB36" s="24"/>
      <c r="AC36" s="24"/>
      <c r="AD36" s="83"/>
      <c r="AE36" s="111">
        <v>44.113399999999999</v>
      </c>
      <c r="AF36" s="112">
        <v>43.017200000000003</v>
      </c>
      <c r="AG36" s="120">
        <v>42.982100000000003</v>
      </c>
      <c r="AI36" s="141"/>
      <c r="AJ36" s="141"/>
      <c r="AK36" s="141"/>
      <c r="AL36" s="141"/>
    </row>
    <row r="37" spans="1:38" ht="15" customHeight="1" x14ac:dyDescent="0.2">
      <c r="B37" s="36"/>
      <c r="C37" s="19">
        <v>32</v>
      </c>
      <c r="D37" s="24"/>
      <c r="E37" s="24"/>
      <c r="F37" s="24"/>
      <c r="G37" s="24"/>
      <c r="H37" s="101"/>
      <c r="I37" s="102"/>
      <c r="J37" s="85" t="e">
        <f t="shared" ca="1" si="0"/>
        <v>#NAME?</v>
      </c>
      <c r="K37" s="19"/>
      <c r="L37" s="111"/>
      <c r="M37" s="112"/>
      <c r="N37" s="112"/>
      <c r="O37" s="112"/>
      <c r="P37" s="112"/>
      <c r="Q37" s="120"/>
      <c r="R37" s="85" t="e">
        <f t="shared" ca="1" si="1"/>
        <v>#NAME?</v>
      </c>
      <c r="S37" s="83"/>
      <c r="T37" s="90"/>
      <c r="U37" s="91"/>
      <c r="V37" s="91"/>
      <c r="W37" s="91"/>
      <c r="X37" s="91"/>
      <c r="Y37" s="91"/>
      <c r="Z37" s="19"/>
      <c r="AA37" s="24"/>
      <c r="AB37" s="24"/>
      <c r="AC37" s="24"/>
      <c r="AD37" s="83"/>
      <c r="AE37" s="111">
        <v>40.663800000000002</v>
      </c>
      <c r="AF37" s="112">
        <v>39.620399999999997</v>
      </c>
      <c r="AG37" s="120">
        <v>39.461199999999998</v>
      </c>
      <c r="AI37" s="141"/>
      <c r="AJ37" s="141"/>
      <c r="AK37" s="141"/>
      <c r="AL37" s="141"/>
    </row>
    <row r="38" spans="1:38" ht="15" customHeight="1" thickBot="1" x14ac:dyDescent="0.25">
      <c r="B38" s="42"/>
      <c r="C38" s="20">
        <v>37</v>
      </c>
      <c r="D38" s="33"/>
      <c r="E38" s="33"/>
      <c r="F38" s="33"/>
      <c r="G38" s="33"/>
      <c r="H38" s="107"/>
      <c r="I38" s="108"/>
      <c r="J38" s="87" t="e">
        <f t="shared" ca="1" si="0"/>
        <v>#NAME?</v>
      </c>
      <c r="K38" s="19"/>
      <c r="L38" s="117"/>
      <c r="M38" s="118"/>
      <c r="N38" s="118"/>
      <c r="O38" s="118"/>
      <c r="P38" s="118"/>
      <c r="Q38" s="124"/>
      <c r="R38" s="87" t="e">
        <f t="shared" ca="1" si="1"/>
        <v>#NAME?</v>
      </c>
      <c r="S38" s="83"/>
      <c r="T38" s="96"/>
      <c r="U38" s="97"/>
      <c r="V38" s="97"/>
      <c r="W38" s="97"/>
      <c r="X38" s="97"/>
      <c r="Y38" s="97"/>
      <c r="Z38" s="19"/>
      <c r="AA38" s="33"/>
      <c r="AB38" s="33"/>
      <c r="AC38" s="33"/>
      <c r="AD38" s="83"/>
      <c r="AE38" s="117">
        <v>37.190399999999997</v>
      </c>
      <c r="AF38" s="118">
        <v>36.002600000000001</v>
      </c>
      <c r="AG38" s="124">
        <v>35.802</v>
      </c>
      <c r="AI38" s="141"/>
      <c r="AJ38" s="141"/>
      <c r="AK38" s="141"/>
      <c r="AL38" s="141"/>
    </row>
    <row r="39" spans="1:38" ht="15" customHeight="1" x14ac:dyDescent="0.25">
      <c r="A39" s="54" t="s">
        <v>24</v>
      </c>
      <c r="B39" s="34" t="s">
        <v>47</v>
      </c>
      <c r="C39" s="18">
        <v>22</v>
      </c>
      <c r="D39" s="43"/>
      <c r="E39" s="43"/>
      <c r="F39" s="43"/>
      <c r="G39" s="43"/>
      <c r="H39" s="99"/>
      <c r="I39" s="100"/>
      <c r="J39" s="85" t="e">
        <f t="shared" ca="1" si="0"/>
        <v>#NAME?</v>
      </c>
      <c r="K39" s="19"/>
      <c r="L39" s="111"/>
      <c r="M39" s="112"/>
      <c r="N39" s="112"/>
      <c r="O39" s="112"/>
      <c r="P39" s="112"/>
      <c r="Q39" s="120"/>
      <c r="R39" s="85" t="e">
        <f t="shared" ca="1" si="1"/>
        <v>#NAME?</v>
      </c>
      <c r="S39" s="83"/>
      <c r="T39" s="90" t="e">
        <f ca="1">bdrate(D39:D42,E39:E42,L39:L42,M39:M42)</f>
        <v>#NAME?</v>
      </c>
      <c r="U39" s="91" t="e">
        <f ca="1">bdrate(D39:D42,F39:F42,L39:L42,N39:N42)</f>
        <v>#NAME?</v>
      </c>
      <c r="V39" s="91" t="e">
        <f ca="1">bdrate(D39:D42,G39:G42,L39:L42,O39:O42)</f>
        <v>#NAME?</v>
      </c>
      <c r="W39" s="91" t="e">
        <f ca="1">bdrateOld(D39:D42,E39:E42,L39:L42,M39:M42)</f>
        <v>#NAME?</v>
      </c>
      <c r="X39" s="91" t="e">
        <f ca="1">bdrateOld(D39:D42,F39:F42,L39:L42,N39:N42)</f>
        <v>#NAME?</v>
      </c>
      <c r="Y39" s="91" t="e">
        <f ca="1">bdrateOld(D39:D42,G39:G42,L39:L42,O39:O42)</f>
        <v>#NAME?</v>
      </c>
      <c r="Z39" s="19"/>
      <c r="AA39" s="43"/>
      <c r="AB39" s="43"/>
      <c r="AC39" s="43"/>
      <c r="AD39" s="83"/>
      <c r="AE39" s="111">
        <v>48.483600000000003</v>
      </c>
      <c r="AF39" s="112">
        <v>47.028300000000002</v>
      </c>
      <c r="AG39" s="120">
        <v>47.130499999999998</v>
      </c>
      <c r="AI39" s="141"/>
      <c r="AJ39" s="141"/>
      <c r="AK39" s="141"/>
      <c r="AL39" s="141"/>
    </row>
    <row r="40" spans="1:38" ht="15" customHeight="1" x14ac:dyDescent="0.2">
      <c r="B40" s="36"/>
      <c r="C40" s="19">
        <v>27</v>
      </c>
      <c r="D40" s="24"/>
      <c r="E40" s="24"/>
      <c r="F40" s="24"/>
      <c r="G40" s="24"/>
      <c r="H40" s="101"/>
      <c r="I40" s="102"/>
      <c r="J40" s="85" t="e">
        <f t="shared" ca="1" si="0"/>
        <v>#NAME?</v>
      </c>
      <c r="K40" s="19"/>
      <c r="L40" s="111"/>
      <c r="M40" s="112"/>
      <c r="N40" s="112"/>
      <c r="O40" s="112"/>
      <c r="P40" s="112"/>
      <c r="Q40" s="120"/>
      <c r="R40" s="85" t="e">
        <f t="shared" ca="1" si="1"/>
        <v>#NAME?</v>
      </c>
      <c r="S40" s="83"/>
      <c r="T40" s="90"/>
      <c r="U40" s="91"/>
      <c r="V40" s="91"/>
      <c r="W40" s="91"/>
      <c r="X40" s="91"/>
      <c r="Y40" s="91"/>
      <c r="Z40" s="19"/>
      <c r="AA40" s="24"/>
      <c r="AB40" s="24"/>
      <c r="AC40" s="24"/>
      <c r="AD40" s="83"/>
      <c r="AE40" s="111">
        <v>44.976199999999999</v>
      </c>
      <c r="AF40" s="112">
        <v>43.57</v>
      </c>
      <c r="AG40" s="120">
        <v>43.523400000000002</v>
      </c>
      <c r="AI40" s="141"/>
      <c r="AJ40" s="141"/>
      <c r="AK40" s="141"/>
      <c r="AL40" s="141"/>
    </row>
    <row r="41" spans="1:38" ht="15" customHeight="1" x14ac:dyDescent="0.2">
      <c r="B41" s="36"/>
      <c r="C41" s="19">
        <v>32</v>
      </c>
      <c r="D41" s="24"/>
      <c r="E41" s="24"/>
      <c r="F41" s="24"/>
      <c r="G41" s="24"/>
      <c r="H41" s="101"/>
      <c r="I41" s="102"/>
      <c r="J41" s="85" t="e">
        <f t="shared" ca="1" si="0"/>
        <v>#NAME?</v>
      </c>
      <c r="K41" s="19"/>
      <c r="L41" s="111"/>
      <c r="M41" s="112"/>
      <c r="N41" s="112"/>
      <c r="O41" s="112"/>
      <c r="P41" s="112"/>
      <c r="Q41" s="120"/>
      <c r="R41" s="85" t="e">
        <f t="shared" ca="1" si="1"/>
        <v>#NAME?</v>
      </c>
      <c r="S41" s="83"/>
      <c r="T41" s="90"/>
      <c r="U41" s="91"/>
      <c r="V41" s="91"/>
      <c r="W41" s="91"/>
      <c r="X41" s="91"/>
      <c r="Y41" s="91"/>
      <c r="Z41" s="19"/>
      <c r="AA41" s="24"/>
      <c r="AB41" s="24"/>
      <c r="AC41" s="24"/>
      <c r="AD41" s="83"/>
      <c r="AE41" s="111">
        <v>41.307200000000002</v>
      </c>
      <c r="AF41" s="112">
        <v>39.835900000000002</v>
      </c>
      <c r="AG41" s="120">
        <v>39.6646</v>
      </c>
      <c r="AI41" s="141"/>
      <c r="AJ41" s="141"/>
      <c r="AK41" s="141"/>
      <c r="AL41" s="141"/>
    </row>
    <row r="42" spans="1:38" ht="15" customHeight="1" thickBot="1" x14ac:dyDescent="0.25">
      <c r="B42" s="35"/>
      <c r="C42" s="19">
        <v>37</v>
      </c>
      <c r="D42" s="24"/>
      <c r="E42" s="24"/>
      <c r="F42" s="24"/>
      <c r="G42" s="24"/>
      <c r="H42" s="101"/>
      <c r="I42" s="102"/>
      <c r="J42" s="87" t="e">
        <f t="shared" ca="1" si="0"/>
        <v>#NAME?</v>
      </c>
      <c r="K42" s="19"/>
      <c r="L42" s="117"/>
      <c r="M42" s="118"/>
      <c r="N42" s="118"/>
      <c r="O42" s="118"/>
      <c r="P42" s="118"/>
      <c r="Q42" s="124"/>
      <c r="R42" s="87" t="e">
        <f t="shared" ca="1" si="1"/>
        <v>#NAME?</v>
      </c>
      <c r="S42" s="83"/>
      <c r="T42" s="96"/>
      <c r="U42" s="97"/>
      <c r="V42" s="97"/>
      <c r="W42" s="97"/>
      <c r="X42" s="97"/>
      <c r="Y42" s="97"/>
      <c r="Z42" s="19"/>
      <c r="AA42" s="24"/>
      <c r="AB42" s="24"/>
      <c r="AC42" s="24"/>
      <c r="AD42" s="83"/>
      <c r="AE42" s="117">
        <v>37.462499999999999</v>
      </c>
      <c r="AF42" s="118">
        <v>35.754100000000001</v>
      </c>
      <c r="AG42" s="124">
        <v>35.6038</v>
      </c>
      <c r="AI42" s="141"/>
      <c r="AJ42" s="141"/>
      <c r="AK42" s="141"/>
      <c r="AL42" s="141"/>
    </row>
    <row r="43" spans="1:38" ht="15" customHeight="1" x14ac:dyDescent="0.25">
      <c r="A43" s="54" t="s">
        <v>25</v>
      </c>
      <c r="B43" s="34" t="s">
        <v>48</v>
      </c>
      <c r="C43" s="18">
        <v>22</v>
      </c>
      <c r="D43" s="43"/>
      <c r="E43" s="43"/>
      <c r="F43" s="43"/>
      <c r="G43" s="43"/>
      <c r="H43" s="99"/>
      <c r="I43" s="100"/>
      <c r="J43" s="85" t="e">
        <f t="shared" ca="1" si="0"/>
        <v>#NAME?</v>
      </c>
      <c r="K43" s="19"/>
      <c r="L43" s="111"/>
      <c r="M43" s="112"/>
      <c r="N43" s="112"/>
      <c r="O43" s="112"/>
      <c r="P43" s="112"/>
      <c r="Q43" s="120"/>
      <c r="R43" s="85" t="e">
        <f t="shared" ca="1" si="1"/>
        <v>#NAME?</v>
      </c>
      <c r="S43" s="83"/>
      <c r="T43" s="90" t="e">
        <f ca="1">bdrate(D43:D46,E43:E46,L43:L46,M43:M46)</f>
        <v>#NAME?</v>
      </c>
      <c r="U43" s="91" t="e">
        <f ca="1">bdrate(D43:D46,F43:F46,L43:L46,N43:N46)</f>
        <v>#NAME?</v>
      </c>
      <c r="V43" s="91" t="e">
        <f ca="1">bdrate(D43:D46,G43:G46,L43:L46,O43:O46)</f>
        <v>#NAME?</v>
      </c>
      <c r="W43" s="91" t="e">
        <f ca="1">bdrateOld(D43:D46,E43:E46,L43:L46,M43:M46)</f>
        <v>#NAME?</v>
      </c>
      <c r="X43" s="91" t="e">
        <f ca="1">bdrateOld(D43:D46,F43:F46,L43:L46,N43:N46)</f>
        <v>#NAME?</v>
      </c>
      <c r="Y43" s="91" t="e">
        <f ca="1">bdrateOld(D43:D46,G43:G46,L43:L46,O43:O46)</f>
        <v>#NAME?</v>
      </c>
      <c r="Z43" s="19"/>
      <c r="AA43" s="43"/>
      <c r="AB43" s="43"/>
      <c r="AC43" s="43"/>
      <c r="AD43" s="83"/>
      <c r="AE43" s="111">
        <v>41.3887</v>
      </c>
      <c r="AF43" s="112">
        <v>41.518299999999996</v>
      </c>
      <c r="AG43" s="120">
        <v>40.5105</v>
      </c>
      <c r="AI43" s="141"/>
      <c r="AJ43" s="141"/>
      <c r="AK43" s="141"/>
      <c r="AL43" s="141"/>
    </row>
    <row r="44" spans="1:38" ht="15" customHeight="1" x14ac:dyDescent="0.2">
      <c r="B44" s="48"/>
      <c r="C44" s="19">
        <v>27</v>
      </c>
      <c r="D44" s="24"/>
      <c r="E44" s="24"/>
      <c r="F44" s="24"/>
      <c r="G44" s="24"/>
      <c r="H44" s="101"/>
      <c r="I44" s="102"/>
      <c r="J44" s="85" t="e">
        <f t="shared" ca="1" si="0"/>
        <v>#NAME?</v>
      </c>
      <c r="K44" s="19"/>
      <c r="L44" s="111"/>
      <c r="M44" s="112"/>
      <c r="N44" s="112"/>
      <c r="O44" s="112"/>
      <c r="P44" s="112"/>
      <c r="Q44" s="120"/>
      <c r="R44" s="85" t="e">
        <f t="shared" ca="1" si="1"/>
        <v>#NAME?</v>
      </c>
      <c r="S44" s="83"/>
      <c r="T44" s="90"/>
      <c r="U44" s="91"/>
      <c r="V44" s="91"/>
      <c r="W44" s="91"/>
      <c r="X44" s="91"/>
      <c r="Y44" s="91"/>
      <c r="Z44" s="19"/>
      <c r="AA44" s="24"/>
      <c r="AB44" s="24"/>
      <c r="AC44" s="24"/>
      <c r="AD44" s="83"/>
      <c r="AE44" s="111">
        <v>37.885199999999998</v>
      </c>
      <c r="AF44" s="112">
        <v>38.202599999999997</v>
      </c>
      <c r="AG44" s="120">
        <v>37.056800000000003</v>
      </c>
      <c r="AI44" s="141"/>
      <c r="AJ44" s="141"/>
      <c r="AK44" s="141"/>
      <c r="AL44" s="141"/>
    </row>
    <row r="45" spans="1:38" ht="15" customHeight="1" x14ac:dyDescent="0.2">
      <c r="B45" s="36"/>
      <c r="C45" s="19">
        <v>32</v>
      </c>
      <c r="D45" s="24"/>
      <c r="E45" s="24"/>
      <c r="F45" s="24"/>
      <c r="G45" s="24"/>
      <c r="H45" s="101"/>
      <c r="I45" s="102"/>
      <c r="J45" s="85" t="e">
        <f t="shared" ca="1" si="0"/>
        <v>#NAME?</v>
      </c>
      <c r="K45" s="19"/>
      <c r="L45" s="111"/>
      <c r="M45" s="112"/>
      <c r="N45" s="112"/>
      <c r="O45" s="112"/>
      <c r="P45" s="112"/>
      <c r="Q45" s="120"/>
      <c r="R45" s="85" t="e">
        <f t="shared" ca="1" si="1"/>
        <v>#NAME?</v>
      </c>
      <c r="S45" s="83"/>
      <c r="T45" s="90"/>
      <c r="U45" s="91"/>
      <c r="V45" s="91"/>
      <c r="W45" s="91"/>
      <c r="X45" s="91"/>
      <c r="Y45" s="91"/>
      <c r="Z45" s="19"/>
      <c r="AA45" s="24"/>
      <c r="AB45" s="24"/>
      <c r="AC45" s="24"/>
      <c r="AD45" s="83"/>
      <c r="AE45" s="111">
        <v>34.916600000000003</v>
      </c>
      <c r="AF45" s="112">
        <v>35.345300000000002</v>
      </c>
      <c r="AG45" s="120">
        <v>34.1098</v>
      </c>
      <c r="AI45" s="141"/>
      <c r="AJ45" s="141"/>
      <c r="AK45" s="141"/>
      <c r="AL45" s="141"/>
    </row>
    <row r="46" spans="1:38" ht="15" customHeight="1" thickBot="1" x14ac:dyDescent="0.25">
      <c r="B46" s="42"/>
      <c r="C46" s="20">
        <v>37</v>
      </c>
      <c r="D46" s="33"/>
      <c r="E46" s="33"/>
      <c r="F46" s="33"/>
      <c r="G46" s="33"/>
      <c r="H46" s="107"/>
      <c r="I46" s="108"/>
      <c r="J46" s="87" t="e">
        <f t="shared" ca="1" si="0"/>
        <v>#NAME?</v>
      </c>
      <c r="K46" s="19"/>
      <c r="L46" s="117"/>
      <c r="M46" s="118"/>
      <c r="N46" s="118"/>
      <c r="O46" s="118"/>
      <c r="P46" s="118"/>
      <c r="Q46" s="124"/>
      <c r="R46" s="87" t="e">
        <f t="shared" ca="1" si="1"/>
        <v>#NAME?</v>
      </c>
      <c r="S46" s="83"/>
      <c r="T46" s="96"/>
      <c r="U46" s="97"/>
      <c r="V46" s="97"/>
      <c r="W46" s="97"/>
      <c r="X46" s="97"/>
      <c r="Y46" s="97"/>
      <c r="Z46" s="19"/>
      <c r="AA46" s="33"/>
      <c r="AB46" s="33"/>
      <c r="AC46" s="33"/>
      <c r="AD46" s="83"/>
      <c r="AE46" s="117">
        <v>32.5503</v>
      </c>
      <c r="AF46" s="118">
        <v>32.83</v>
      </c>
      <c r="AG46" s="124">
        <v>31.608499999999999</v>
      </c>
      <c r="AI46" s="141"/>
      <c r="AJ46" s="141"/>
      <c r="AK46" s="141"/>
      <c r="AL46" s="141"/>
    </row>
    <row r="47" spans="1:38" ht="15" customHeight="1" x14ac:dyDescent="0.25">
      <c r="A47" s="54" t="s">
        <v>35</v>
      </c>
      <c r="B47" s="34" t="s">
        <v>32</v>
      </c>
      <c r="C47" s="18">
        <v>22</v>
      </c>
      <c r="D47" s="43"/>
      <c r="E47" s="43"/>
      <c r="F47" s="43"/>
      <c r="G47" s="43"/>
      <c r="H47" s="99"/>
      <c r="I47" s="100"/>
      <c r="J47" s="85" t="e">
        <f t="shared" ca="1" si="0"/>
        <v>#NAME?</v>
      </c>
      <c r="K47" s="19"/>
      <c r="L47" s="111"/>
      <c r="M47" s="112"/>
      <c r="N47" s="112"/>
      <c r="O47" s="112"/>
      <c r="P47" s="112"/>
      <c r="Q47" s="120"/>
      <c r="R47" s="85" t="e">
        <f t="shared" ca="1" si="1"/>
        <v>#NAME?</v>
      </c>
      <c r="S47" s="83"/>
      <c r="T47" s="90" t="e">
        <f ca="1">bdrate(D47:D50,E47:E50,L47:L50,M47:M50)</f>
        <v>#NAME?</v>
      </c>
      <c r="U47" s="91" t="e">
        <f ca="1">bdrate(D47:D50,F47:F50,L47:L50,N47:N50)</f>
        <v>#NAME?</v>
      </c>
      <c r="V47" s="91" t="e">
        <f ca="1">bdrate(D47:D50,G47:G50,L47:L50,O47:O50)</f>
        <v>#NAME?</v>
      </c>
      <c r="W47" s="91" t="e">
        <f ca="1">bdrateOld(D47:D50,E47:E50,L47:L50,M47:M50)</f>
        <v>#NAME?</v>
      </c>
      <c r="X47" s="91" t="e">
        <f ca="1">bdrateOld(D47:D50,F47:F50,L47:L50,N47:N50)</f>
        <v>#NAME?</v>
      </c>
      <c r="Y47" s="91" t="e">
        <f ca="1">bdrateOld(D47:D50,G47:G50,L47:L50,O47:O50)</f>
        <v>#NAME?</v>
      </c>
      <c r="Z47" s="19"/>
      <c r="AA47" s="43"/>
      <c r="AB47" s="43"/>
      <c r="AC47" s="43"/>
      <c r="AD47" s="83"/>
      <c r="AE47" s="111">
        <v>43.398699999999998</v>
      </c>
      <c r="AF47" s="112">
        <v>40.0045</v>
      </c>
      <c r="AG47" s="120">
        <v>43.474699999999999</v>
      </c>
      <c r="AI47" s="141"/>
      <c r="AJ47" s="141"/>
      <c r="AK47" s="141"/>
      <c r="AL47" s="141"/>
    </row>
    <row r="48" spans="1:38" ht="15" customHeight="1" x14ac:dyDescent="0.2">
      <c r="B48" s="36"/>
      <c r="C48" s="19">
        <v>27</v>
      </c>
      <c r="D48" s="24"/>
      <c r="E48" s="24"/>
      <c r="F48" s="24"/>
      <c r="G48" s="24"/>
      <c r="H48" s="101"/>
      <c r="I48" s="102"/>
      <c r="J48" s="85" t="e">
        <f t="shared" ca="1" si="0"/>
        <v>#NAME?</v>
      </c>
      <c r="K48" s="19"/>
      <c r="L48" s="111"/>
      <c r="M48" s="112"/>
      <c r="N48" s="112"/>
      <c r="O48" s="112"/>
      <c r="P48" s="112"/>
      <c r="Q48" s="120"/>
      <c r="R48" s="85" t="e">
        <f t="shared" ca="1" si="1"/>
        <v>#NAME?</v>
      </c>
      <c r="S48" s="83"/>
      <c r="T48" s="90"/>
      <c r="U48" s="91"/>
      <c r="V48" s="91"/>
      <c r="W48" s="91"/>
      <c r="X48" s="91"/>
      <c r="Y48" s="91"/>
      <c r="Z48" s="19"/>
      <c r="AA48" s="24"/>
      <c r="AB48" s="24"/>
      <c r="AC48" s="24"/>
      <c r="AD48" s="83"/>
      <c r="AE48" s="111">
        <v>40.922199999999997</v>
      </c>
      <c r="AF48" s="112">
        <v>38.058100000000003</v>
      </c>
      <c r="AG48" s="120">
        <v>40.915500000000002</v>
      </c>
      <c r="AI48" s="141"/>
      <c r="AJ48" s="141"/>
      <c r="AK48" s="141"/>
      <c r="AL48" s="141"/>
    </row>
    <row r="49" spans="1:38" ht="15" customHeight="1" x14ac:dyDescent="0.2">
      <c r="B49" s="36"/>
      <c r="C49" s="19">
        <v>32</v>
      </c>
      <c r="D49" s="24"/>
      <c r="E49" s="24"/>
      <c r="F49" s="24"/>
      <c r="G49" s="24"/>
      <c r="H49" s="101"/>
      <c r="I49" s="102"/>
      <c r="J49" s="85" t="e">
        <f t="shared" ca="1" si="0"/>
        <v>#NAME?</v>
      </c>
      <c r="K49" s="19"/>
      <c r="L49" s="111"/>
      <c r="M49" s="112"/>
      <c r="N49" s="112"/>
      <c r="O49" s="112"/>
      <c r="P49" s="112"/>
      <c r="Q49" s="120"/>
      <c r="R49" s="85" t="e">
        <f t="shared" ca="1" si="1"/>
        <v>#NAME?</v>
      </c>
      <c r="S49" s="83"/>
      <c r="T49" s="90"/>
      <c r="U49" s="91"/>
      <c r="V49" s="91"/>
      <c r="W49" s="91"/>
      <c r="X49" s="91"/>
      <c r="Y49" s="91"/>
      <c r="Z49" s="19"/>
      <c r="AA49" s="24"/>
      <c r="AB49" s="24"/>
      <c r="AC49" s="24"/>
      <c r="AD49" s="83"/>
      <c r="AE49" s="111">
        <v>38.284199999999998</v>
      </c>
      <c r="AF49" s="112">
        <v>35.993400000000001</v>
      </c>
      <c r="AG49" s="120">
        <v>38.2592</v>
      </c>
      <c r="AI49" s="141"/>
      <c r="AJ49" s="141"/>
      <c r="AK49" s="141"/>
      <c r="AL49" s="141"/>
    </row>
    <row r="50" spans="1:38" ht="15" customHeight="1" x14ac:dyDescent="0.2">
      <c r="B50" s="36"/>
      <c r="C50" s="60">
        <v>37</v>
      </c>
      <c r="D50" s="25"/>
      <c r="E50" s="25"/>
      <c r="F50" s="25"/>
      <c r="G50" s="25"/>
      <c r="H50" s="103"/>
      <c r="I50" s="104"/>
      <c r="J50" s="86" t="e">
        <f t="shared" ca="1" si="0"/>
        <v>#NAME?</v>
      </c>
      <c r="K50" s="19"/>
      <c r="L50" s="113"/>
      <c r="M50" s="114"/>
      <c r="N50" s="114"/>
      <c r="O50" s="114"/>
      <c r="P50" s="114"/>
      <c r="Q50" s="121"/>
      <c r="R50" s="86" t="e">
        <f t="shared" ca="1" si="1"/>
        <v>#NAME?</v>
      </c>
      <c r="S50" s="83"/>
      <c r="T50" s="92"/>
      <c r="U50" s="93"/>
      <c r="V50" s="93"/>
      <c r="W50" s="93"/>
      <c r="X50" s="93"/>
      <c r="Y50" s="93"/>
      <c r="Z50" s="19"/>
      <c r="AA50" s="25"/>
      <c r="AB50" s="25"/>
      <c r="AC50" s="25"/>
      <c r="AD50" s="83"/>
      <c r="AE50" s="113">
        <v>35.4788</v>
      </c>
      <c r="AF50" s="114">
        <v>33.799399999999999</v>
      </c>
      <c r="AG50" s="121">
        <v>35.456000000000003</v>
      </c>
      <c r="AI50" s="141"/>
      <c r="AJ50" s="141"/>
      <c r="AK50" s="141"/>
      <c r="AL50" s="141"/>
    </row>
    <row r="51" spans="1:38" ht="15" customHeight="1" x14ac:dyDescent="0.2">
      <c r="B51" s="37" t="s">
        <v>33</v>
      </c>
      <c r="C51" s="19">
        <v>22</v>
      </c>
      <c r="D51" s="24"/>
      <c r="E51" s="24"/>
      <c r="F51" s="24"/>
      <c r="G51" s="24"/>
      <c r="H51" s="101"/>
      <c r="I51" s="102"/>
      <c r="J51" s="85" t="e">
        <f t="shared" ca="1" si="0"/>
        <v>#NAME?</v>
      </c>
      <c r="K51" s="19"/>
      <c r="L51" s="111"/>
      <c r="M51" s="112"/>
      <c r="N51" s="112"/>
      <c r="O51" s="112"/>
      <c r="P51" s="112"/>
      <c r="Q51" s="120"/>
      <c r="R51" s="85" t="e">
        <f t="shared" ca="1" si="1"/>
        <v>#NAME?</v>
      </c>
      <c r="S51" s="83"/>
      <c r="T51" s="90" t="e">
        <f ca="1">bdrate(D51:D54,E51:E54,L51:L54,M51:M54)</f>
        <v>#NAME?</v>
      </c>
      <c r="U51" s="91" t="e">
        <f ca="1">bdrate(D51:D54,F51:F54,L51:L54,N51:N54)</f>
        <v>#NAME?</v>
      </c>
      <c r="V51" s="91" t="e">
        <f ca="1">bdrate(D51:D54,G51:G54,L51:L54,O51:O54)</f>
        <v>#NAME?</v>
      </c>
      <c r="W51" s="91" t="e">
        <f ca="1">bdrateOld(D51:D54,E51:E54,L51:L54,M51:M54)</f>
        <v>#NAME?</v>
      </c>
      <c r="X51" s="91" t="e">
        <f ca="1">bdrateOld(D51:D54,F51:F54,L51:L54,N51:N54)</f>
        <v>#NAME?</v>
      </c>
      <c r="Y51" s="91" t="e">
        <f ca="1">bdrateOld(D51:D54,G51:G54,L51:L54,O51:O54)</f>
        <v>#NAME?</v>
      </c>
      <c r="Z51" s="19"/>
      <c r="AA51" s="24"/>
      <c r="AB51" s="24"/>
      <c r="AC51" s="24"/>
      <c r="AD51" s="83"/>
      <c r="AE51" s="111">
        <v>40.365299999999998</v>
      </c>
      <c r="AF51" s="112">
        <v>34.261000000000003</v>
      </c>
      <c r="AG51" s="120">
        <v>38.733499999999999</v>
      </c>
      <c r="AI51" s="141"/>
      <c r="AJ51" s="141"/>
      <c r="AK51" s="141"/>
      <c r="AL51" s="141"/>
    </row>
    <row r="52" spans="1:38" ht="15" customHeight="1" x14ac:dyDescent="0.2">
      <c r="B52" s="36"/>
      <c r="C52" s="19">
        <v>27</v>
      </c>
      <c r="D52" s="24"/>
      <c r="E52" s="24"/>
      <c r="F52" s="24"/>
      <c r="G52" s="24"/>
      <c r="H52" s="101"/>
      <c r="I52" s="102"/>
      <c r="J52" s="85" t="e">
        <f t="shared" ca="1" si="0"/>
        <v>#NAME?</v>
      </c>
      <c r="K52" s="19"/>
      <c r="L52" s="111"/>
      <c r="M52" s="112"/>
      <c r="N52" s="112"/>
      <c r="O52" s="112"/>
      <c r="P52" s="112"/>
      <c r="Q52" s="120"/>
      <c r="R52" s="85" t="e">
        <f t="shared" ca="1" si="1"/>
        <v>#NAME?</v>
      </c>
      <c r="S52" s="83"/>
      <c r="T52" s="90"/>
      <c r="U52" s="91"/>
      <c r="V52" s="91"/>
      <c r="W52" s="91"/>
      <c r="X52" s="91"/>
      <c r="Y52" s="91"/>
      <c r="Z52" s="19"/>
      <c r="AA52" s="24"/>
      <c r="AB52" s="24"/>
      <c r="AC52" s="24"/>
      <c r="AD52" s="83"/>
      <c r="AE52" s="111">
        <v>39.15</v>
      </c>
      <c r="AF52" s="112">
        <v>32.531399999999998</v>
      </c>
      <c r="AG52" s="120">
        <v>37.330500000000001</v>
      </c>
      <c r="AI52" s="141"/>
      <c r="AJ52" s="141"/>
      <c r="AK52" s="141"/>
      <c r="AL52" s="141"/>
    </row>
    <row r="53" spans="1:38" ht="15" customHeight="1" x14ac:dyDescent="0.2">
      <c r="B53" s="36"/>
      <c r="C53" s="19">
        <v>32</v>
      </c>
      <c r="D53" s="24"/>
      <c r="E53" s="24"/>
      <c r="F53" s="24"/>
      <c r="G53" s="24"/>
      <c r="H53" s="101"/>
      <c r="I53" s="102"/>
      <c r="J53" s="85" t="e">
        <f t="shared" ca="1" si="0"/>
        <v>#NAME?</v>
      </c>
      <c r="K53" s="19"/>
      <c r="L53" s="111"/>
      <c r="M53" s="112"/>
      <c r="N53" s="112"/>
      <c r="O53" s="112"/>
      <c r="P53" s="112"/>
      <c r="Q53" s="120"/>
      <c r="R53" s="85" t="e">
        <f t="shared" ca="1" si="1"/>
        <v>#NAME?</v>
      </c>
      <c r="S53" s="83"/>
      <c r="T53" s="90"/>
      <c r="U53" s="91"/>
      <c r="V53" s="91"/>
      <c r="W53" s="91"/>
      <c r="X53" s="91"/>
      <c r="Y53" s="91"/>
      <c r="Z53" s="19"/>
      <c r="AA53" s="24"/>
      <c r="AB53" s="24"/>
      <c r="AC53" s="24"/>
      <c r="AD53" s="83"/>
      <c r="AE53" s="111">
        <v>37.505099999999999</v>
      </c>
      <c r="AF53" s="112">
        <v>31.910499999999999</v>
      </c>
      <c r="AG53" s="120">
        <v>35.635899999999999</v>
      </c>
      <c r="AI53" s="141"/>
      <c r="AJ53" s="141"/>
      <c r="AK53" s="141"/>
      <c r="AL53" s="141"/>
    </row>
    <row r="54" spans="1:38" ht="15" customHeight="1" thickBot="1" x14ac:dyDescent="0.25">
      <c r="B54" s="42"/>
      <c r="C54" s="20">
        <v>37</v>
      </c>
      <c r="D54" s="33"/>
      <c r="E54" s="33"/>
      <c r="F54" s="33"/>
      <c r="G54" s="33"/>
      <c r="H54" s="107"/>
      <c r="I54" s="108"/>
      <c r="J54" s="87" t="e">
        <f t="shared" ca="1" si="0"/>
        <v>#NAME?</v>
      </c>
      <c r="K54" s="19"/>
      <c r="L54" s="117"/>
      <c r="M54" s="118"/>
      <c r="N54" s="118"/>
      <c r="O54" s="118"/>
      <c r="P54" s="118"/>
      <c r="Q54" s="124"/>
      <c r="R54" s="87" t="e">
        <f t="shared" ca="1" si="1"/>
        <v>#NAME?</v>
      </c>
      <c r="S54" s="83"/>
      <c r="T54" s="96"/>
      <c r="U54" s="97"/>
      <c r="V54" s="97"/>
      <c r="W54" s="97"/>
      <c r="X54" s="97"/>
      <c r="Y54" s="97"/>
      <c r="Z54" s="19"/>
      <c r="AA54" s="33"/>
      <c r="AB54" s="33"/>
      <c r="AC54" s="33"/>
      <c r="AD54" s="83"/>
      <c r="AE54" s="117">
        <v>35.256300000000003</v>
      </c>
      <c r="AF54" s="118">
        <v>31.033000000000001</v>
      </c>
      <c r="AG54" s="124">
        <v>33.441699999999997</v>
      </c>
      <c r="AI54" s="141"/>
      <c r="AJ54" s="141"/>
      <c r="AK54" s="141"/>
      <c r="AL54" s="141"/>
    </row>
    <row r="55" spans="1:38" ht="15" customHeight="1" x14ac:dyDescent="0.25">
      <c r="A55" s="54" t="s">
        <v>26</v>
      </c>
      <c r="B55" s="34" t="s">
        <v>49</v>
      </c>
      <c r="C55" s="18">
        <v>22</v>
      </c>
      <c r="D55" s="43"/>
      <c r="E55" s="43"/>
      <c r="F55" s="43"/>
      <c r="G55" s="43"/>
      <c r="H55" s="99"/>
      <c r="I55" s="100"/>
      <c r="J55" s="85" t="e">
        <f t="shared" ca="1" si="0"/>
        <v>#NAME?</v>
      </c>
      <c r="K55" s="19"/>
      <c r="L55" s="111"/>
      <c r="M55" s="112"/>
      <c r="N55" s="112"/>
      <c r="O55" s="112"/>
      <c r="P55" s="112"/>
      <c r="Q55" s="120"/>
      <c r="R55" s="85" t="e">
        <f t="shared" ca="1" si="1"/>
        <v>#NAME?</v>
      </c>
      <c r="S55" s="83"/>
      <c r="T55" s="90" t="e">
        <f ca="1">bdrate(D55:D58,E55:E58,L55:L58,M55:M58)</f>
        <v>#NAME?</v>
      </c>
      <c r="U55" s="91" t="e">
        <f ca="1">bdrate(D55:D58,F55:F58,L55:L58,N55:N58)</f>
        <v>#NAME?</v>
      </c>
      <c r="V55" s="91" t="e">
        <f ca="1">bdrate(D55:D58,G55:G58,L55:L58,O55:O58)</f>
        <v>#NAME?</v>
      </c>
      <c r="W55" s="91" t="e">
        <f ca="1">bdrateOld(D55:D58,E55:E58,L55:L58,M55:M58)</f>
        <v>#NAME?</v>
      </c>
      <c r="X55" s="91" t="e">
        <f ca="1">bdrateOld(D55:D58,F55:F58,L55:L58,N55:N58)</f>
        <v>#NAME?</v>
      </c>
      <c r="Y55" s="91" t="e">
        <f ca="1">bdrateOld(D55:D58,G55:G58,L55:L58,O55:O58)</f>
        <v>#NAME?</v>
      </c>
      <c r="Z55" s="19"/>
      <c r="AA55" s="43"/>
      <c r="AB55" s="43"/>
      <c r="AC55" s="43"/>
      <c r="AD55" s="83"/>
      <c r="AE55" s="111">
        <v>44.447400000000002</v>
      </c>
      <c r="AF55" s="112">
        <v>47.325200000000002</v>
      </c>
      <c r="AG55" s="120">
        <v>47.467700000000001</v>
      </c>
      <c r="AI55" s="141"/>
      <c r="AJ55" s="141"/>
      <c r="AK55" s="141"/>
      <c r="AL55" s="141"/>
    </row>
    <row r="56" spans="1:38" ht="15" customHeight="1" x14ac:dyDescent="0.2">
      <c r="B56" s="36"/>
      <c r="C56" s="19">
        <v>27</v>
      </c>
      <c r="D56" s="24"/>
      <c r="E56" s="24"/>
      <c r="F56" s="24"/>
      <c r="G56" s="24"/>
      <c r="H56" s="101"/>
      <c r="I56" s="102"/>
      <c r="J56" s="85" t="e">
        <f t="shared" ca="1" si="0"/>
        <v>#NAME?</v>
      </c>
      <c r="K56" s="19"/>
      <c r="L56" s="111"/>
      <c r="M56" s="112"/>
      <c r="N56" s="112"/>
      <c r="O56" s="112"/>
      <c r="P56" s="112"/>
      <c r="Q56" s="120"/>
      <c r="R56" s="85" t="e">
        <f t="shared" ca="1" si="1"/>
        <v>#NAME?</v>
      </c>
      <c r="S56" s="83"/>
      <c r="T56" s="90"/>
      <c r="U56" s="91"/>
      <c r="V56" s="91"/>
      <c r="W56" s="91"/>
      <c r="X56" s="91"/>
      <c r="Y56" s="91"/>
      <c r="Z56" s="19"/>
      <c r="AA56" s="24"/>
      <c r="AB56" s="24"/>
      <c r="AC56" s="24"/>
      <c r="AD56" s="83"/>
      <c r="AE56" s="111">
        <v>39.405900000000003</v>
      </c>
      <c r="AF56" s="112">
        <v>42.935899999999997</v>
      </c>
      <c r="AG56" s="120">
        <v>43.178199999999997</v>
      </c>
      <c r="AI56" s="141"/>
      <c r="AJ56" s="141"/>
      <c r="AK56" s="141"/>
      <c r="AL56" s="141"/>
    </row>
    <row r="57" spans="1:38" ht="15" customHeight="1" x14ac:dyDescent="0.2">
      <c r="B57" s="48"/>
      <c r="C57" s="19">
        <v>32</v>
      </c>
      <c r="D57" s="24"/>
      <c r="E57" s="24"/>
      <c r="F57" s="24"/>
      <c r="G57" s="24"/>
      <c r="H57" s="101"/>
      <c r="I57" s="102"/>
      <c r="J57" s="85" t="e">
        <f t="shared" ca="1" si="0"/>
        <v>#NAME?</v>
      </c>
      <c r="K57" s="19"/>
      <c r="L57" s="111"/>
      <c r="M57" s="112"/>
      <c r="N57" s="112"/>
      <c r="O57" s="112"/>
      <c r="P57" s="112"/>
      <c r="Q57" s="120"/>
      <c r="R57" s="85" t="e">
        <f t="shared" ca="1" si="1"/>
        <v>#NAME?</v>
      </c>
      <c r="S57" s="83"/>
      <c r="T57" s="90"/>
      <c r="U57" s="91"/>
      <c r="V57" s="91"/>
      <c r="W57" s="91"/>
      <c r="X57" s="91"/>
      <c r="Y57" s="91"/>
      <c r="Z57" s="19"/>
      <c r="AA57" s="24"/>
      <c r="AB57" s="24"/>
      <c r="AC57" s="24"/>
      <c r="AD57" s="83"/>
      <c r="AE57" s="111">
        <v>35.116399999999999</v>
      </c>
      <c r="AF57" s="112">
        <v>38.8949</v>
      </c>
      <c r="AG57" s="120">
        <v>39.330199999999998</v>
      </c>
      <c r="AI57" s="141"/>
      <c r="AJ57" s="141"/>
      <c r="AK57" s="141"/>
      <c r="AL57" s="141"/>
    </row>
    <row r="58" spans="1:38" ht="15" customHeight="1" x14ac:dyDescent="0.2">
      <c r="B58" s="49"/>
      <c r="C58" s="19">
        <v>37</v>
      </c>
      <c r="D58" s="24"/>
      <c r="E58" s="24"/>
      <c r="F58" s="24"/>
      <c r="G58" s="24"/>
      <c r="H58" s="101"/>
      <c r="I58" s="102"/>
      <c r="J58" s="86" t="e">
        <f t="shared" ca="1" si="0"/>
        <v>#NAME?</v>
      </c>
      <c r="K58" s="19"/>
      <c r="L58" s="111"/>
      <c r="M58" s="112"/>
      <c r="N58" s="112"/>
      <c r="O58" s="112"/>
      <c r="P58" s="112"/>
      <c r="Q58" s="120"/>
      <c r="R58" s="86" t="e">
        <f t="shared" ca="1" si="1"/>
        <v>#NAME?</v>
      </c>
      <c r="S58" s="83"/>
      <c r="T58" s="90"/>
      <c r="U58" s="91"/>
      <c r="V58" s="91"/>
      <c r="W58" s="91"/>
      <c r="X58" s="91"/>
      <c r="Y58" s="91"/>
      <c r="Z58" s="19"/>
      <c r="AA58" s="24"/>
      <c r="AB58" s="24"/>
      <c r="AC58" s="24"/>
      <c r="AD58" s="83"/>
      <c r="AE58" s="111">
        <v>31.436299999999999</v>
      </c>
      <c r="AF58" s="112">
        <v>35.401499999999999</v>
      </c>
      <c r="AG58" s="120">
        <v>35.959200000000003</v>
      </c>
      <c r="AI58" s="141"/>
      <c r="AJ58" s="141"/>
      <c r="AK58" s="141"/>
      <c r="AL58" s="141"/>
    </row>
    <row r="59" spans="1:38" ht="15" customHeight="1" x14ac:dyDescent="0.2">
      <c r="B59" s="50" t="s">
        <v>50</v>
      </c>
      <c r="C59" s="61">
        <v>22</v>
      </c>
      <c r="D59" s="31"/>
      <c r="E59" s="31"/>
      <c r="F59" s="31"/>
      <c r="G59" s="31"/>
      <c r="H59" s="105"/>
      <c r="I59" s="106"/>
      <c r="J59" s="85" t="e">
        <f t="shared" ca="1" si="0"/>
        <v>#NAME?</v>
      </c>
      <c r="K59" s="19"/>
      <c r="L59" s="115"/>
      <c r="M59" s="116"/>
      <c r="N59" s="116"/>
      <c r="O59" s="116"/>
      <c r="P59" s="116"/>
      <c r="Q59" s="122"/>
      <c r="R59" s="85" t="e">
        <f t="shared" ca="1" si="1"/>
        <v>#NAME?</v>
      </c>
      <c r="S59" s="83"/>
      <c r="T59" s="94" t="e">
        <f ca="1">bdrate(D59:D62,E59:E62,L59:L62,M59:M62)</f>
        <v>#NAME?</v>
      </c>
      <c r="U59" s="95" t="e">
        <f ca="1">bdrate(D59:D62,F59:F62,L59:L62,N59:N62)</f>
        <v>#NAME?</v>
      </c>
      <c r="V59" s="95" t="e">
        <f ca="1">bdrate(D59:D62,G59:G62,L59:L62,O59:O62)</f>
        <v>#NAME?</v>
      </c>
      <c r="W59" s="95" t="e">
        <f ca="1">bdrateOld(D59:D62,E59:E62,L59:L62,M59:M62)</f>
        <v>#NAME?</v>
      </c>
      <c r="X59" s="95" t="e">
        <f ca="1">bdrateOld(D59:D62,F59:F62,L59:L62,N59:N62)</f>
        <v>#NAME?</v>
      </c>
      <c r="Y59" s="95" t="e">
        <f ca="1">bdrateOld(D59:D62,G59:G62,L59:L62,O59:O62)</f>
        <v>#NAME?</v>
      </c>
      <c r="Z59" s="19"/>
      <c r="AA59" s="31"/>
      <c r="AB59" s="31"/>
      <c r="AC59" s="31"/>
      <c r="AD59" s="83"/>
      <c r="AE59" s="115">
        <v>54.6751</v>
      </c>
      <c r="AF59" s="116">
        <v>55.076000000000001</v>
      </c>
      <c r="AG59" s="125">
        <v>55.5381</v>
      </c>
      <c r="AI59" s="141"/>
      <c r="AJ59" s="141"/>
      <c r="AK59" s="141"/>
      <c r="AL59" s="141"/>
    </row>
    <row r="60" spans="1:38" ht="15" customHeight="1" x14ac:dyDescent="0.2">
      <c r="B60" s="36"/>
      <c r="C60" s="19">
        <v>27</v>
      </c>
      <c r="D60" s="24"/>
      <c r="E60" s="24"/>
      <c r="F60" s="24"/>
      <c r="G60" s="24"/>
      <c r="H60" s="101"/>
      <c r="I60" s="102"/>
      <c r="J60" s="85" t="e">
        <f t="shared" ca="1" si="0"/>
        <v>#NAME?</v>
      </c>
      <c r="K60" s="19"/>
      <c r="L60" s="111"/>
      <c r="M60" s="112"/>
      <c r="N60" s="112"/>
      <c r="O60" s="112"/>
      <c r="P60" s="112"/>
      <c r="Q60" s="123"/>
      <c r="R60" s="85" t="e">
        <f t="shared" ca="1" si="1"/>
        <v>#NAME?</v>
      </c>
      <c r="S60" s="83"/>
      <c r="T60" s="90"/>
      <c r="U60" s="91"/>
      <c r="V60" s="91"/>
      <c r="W60" s="91"/>
      <c r="X60" s="91"/>
      <c r="Y60" s="91"/>
      <c r="Z60" s="19"/>
      <c r="AA60" s="24"/>
      <c r="AB60" s="24"/>
      <c r="AC60" s="24"/>
      <c r="AD60" s="83"/>
      <c r="AE60" s="111">
        <v>49.814900000000002</v>
      </c>
      <c r="AF60" s="112">
        <v>49.9923</v>
      </c>
      <c r="AG60" s="120">
        <v>50.814999999999998</v>
      </c>
      <c r="AI60" s="141"/>
      <c r="AJ60" s="141"/>
      <c r="AK60" s="141"/>
      <c r="AL60" s="141"/>
    </row>
    <row r="61" spans="1:38" ht="15" customHeight="1" x14ac:dyDescent="0.2">
      <c r="B61" s="36"/>
      <c r="C61" s="19">
        <v>32</v>
      </c>
      <c r="D61" s="24"/>
      <c r="E61" s="24"/>
      <c r="F61" s="24"/>
      <c r="G61" s="24"/>
      <c r="H61" s="101"/>
      <c r="I61" s="102"/>
      <c r="J61" s="85" t="e">
        <f t="shared" ca="1" si="0"/>
        <v>#NAME?</v>
      </c>
      <c r="K61" s="19"/>
      <c r="L61" s="111"/>
      <c r="M61" s="112"/>
      <c r="N61" s="112"/>
      <c r="O61" s="112"/>
      <c r="P61" s="112"/>
      <c r="Q61" s="120"/>
      <c r="R61" s="85" t="e">
        <f t="shared" ca="1" si="1"/>
        <v>#NAME?</v>
      </c>
      <c r="S61" s="83"/>
      <c r="T61" s="90"/>
      <c r="U61" s="91"/>
      <c r="V61" s="91"/>
      <c r="W61" s="91"/>
      <c r="X61" s="91"/>
      <c r="Y61" s="91"/>
      <c r="Z61" s="19"/>
      <c r="AA61" s="24"/>
      <c r="AB61" s="24"/>
      <c r="AC61" s="24"/>
      <c r="AD61" s="83"/>
      <c r="AE61" s="111">
        <v>44.7545</v>
      </c>
      <c r="AF61" s="112">
        <v>44.7712</v>
      </c>
      <c r="AG61" s="120">
        <v>45.669699999999999</v>
      </c>
      <c r="AI61" s="141"/>
      <c r="AJ61" s="141"/>
      <c r="AK61" s="141"/>
      <c r="AL61" s="141"/>
    </row>
    <row r="62" spans="1:38" ht="15" customHeight="1" x14ac:dyDescent="0.2">
      <c r="B62" s="41"/>
      <c r="C62" s="60">
        <v>37</v>
      </c>
      <c r="D62" s="25"/>
      <c r="E62" s="25"/>
      <c r="F62" s="25"/>
      <c r="G62" s="25"/>
      <c r="H62" s="103"/>
      <c r="I62" s="104"/>
      <c r="J62" s="86" t="e">
        <f t="shared" ca="1" si="0"/>
        <v>#NAME?</v>
      </c>
      <c r="K62" s="19"/>
      <c r="L62" s="113"/>
      <c r="M62" s="114"/>
      <c r="N62" s="114"/>
      <c r="O62" s="114"/>
      <c r="P62" s="114"/>
      <c r="Q62" s="121"/>
      <c r="R62" s="86" t="e">
        <f t="shared" ca="1" si="1"/>
        <v>#NAME?</v>
      </c>
      <c r="S62" s="83"/>
      <c r="T62" s="92"/>
      <c r="U62" s="93"/>
      <c r="V62" s="93"/>
      <c r="W62" s="93"/>
      <c r="X62" s="93"/>
      <c r="Y62" s="93"/>
      <c r="Z62" s="19"/>
      <c r="AA62" s="25"/>
      <c r="AB62" s="25"/>
      <c r="AC62" s="25"/>
      <c r="AD62" s="83"/>
      <c r="AE62" s="113">
        <v>38.764600000000002</v>
      </c>
      <c r="AF62" s="114">
        <v>40.594900000000003</v>
      </c>
      <c r="AG62" s="121">
        <v>40.820900000000002</v>
      </c>
      <c r="AI62" s="141"/>
      <c r="AJ62" s="141"/>
      <c r="AK62" s="141"/>
      <c r="AL62" s="141"/>
    </row>
    <row r="63" spans="1:38" ht="15" customHeight="1" x14ac:dyDescent="0.2">
      <c r="B63" s="39" t="s">
        <v>51</v>
      </c>
      <c r="C63" s="19">
        <v>22</v>
      </c>
      <c r="D63" s="24"/>
      <c r="E63" s="24"/>
      <c r="F63" s="24"/>
      <c r="G63" s="24"/>
      <c r="H63" s="101"/>
      <c r="I63" s="102"/>
      <c r="J63" s="85" t="e">
        <f t="shared" ca="1" si="0"/>
        <v>#NAME?</v>
      </c>
      <c r="K63" s="19"/>
      <c r="L63" s="111"/>
      <c r="M63" s="112"/>
      <c r="N63" s="112"/>
      <c r="O63" s="112"/>
      <c r="P63" s="112"/>
      <c r="Q63" s="120"/>
      <c r="R63" s="85" t="e">
        <f t="shared" ca="1" si="1"/>
        <v>#NAME?</v>
      </c>
      <c r="S63" s="83"/>
      <c r="T63" s="90" t="e">
        <f ca="1">bdrate(D63:D66,E63:E66,L63:L66,M63:M66)</f>
        <v>#NAME?</v>
      </c>
      <c r="U63" s="91" t="e">
        <f ca="1">bdrate(D63:D66,F63:F66,L63:L66,N63:N66)</f>
        <v>#NAME?</v>
      </c>
      <c r="V63" s="91" t="e">
        <f ca="1">bdrate(D63:D66,G63:G66,L63:L66,O63:O66)</f>
        <v>#NAME?</v>
      </c>
      <c r="W63" s="91" t="e">
        <f ca="1">bdrateOld(D63:D66,E63:E66,L63:L66,M63:M66)</f>
        <v>#NAME?</v>
      </c>
      <c r="X63" s="91" t="e">
        <f ca="1">bdrateOld(D63:D66,F63:F66,L63:L66,N63:N66)</f>
        <v>#NAME?</v>
      </c>
      <c r="Y63" s="91" t="e">
        <f ca="1">bdrateOld(D63:D66,G63:G66,L63:L66,O63:O66)</f>
        <v>#NAME?</v>
      </c>
      <c r="Z63" s="19"/>
      <c r="AA63" s="24"/>
      <c r="AB63" s="24"/>
      <c r="AC63" s="24"/>
      <c r="AD63" s="83"/>
      <c r="AE63" s="111">
        <v>55.112099999999998</v>
      </c>
      <c r="AF63" s="112">
        <v>56.620699999999999</v>
      </c>
      <c r="AG63" s="120">
        <v>55.579300000000003</v>
      </c>
      <c r="AI63" s="141"/>
      <c r="AJ63" s="141"/>
      <c r="AK63" s="141"/>
      <c r="AL63" s="141"/>
    </row>
    <row r="64" spans="1:38" ht="15" customHeight="1" x14ac:dyDescent="0.2">
      <c r="B64" s="40"/>
      <c r="C64" s="19">
        <v>27</v>
      </c>
      <c r="D64" s="24"/>
      <c r="E64" s="24"/>
      <c r="F64" s="24"/>
      <c r="G64" s="24"/>
      <c r="H64" s="101"/>
      <c r="I64" s="102"/>
      <c r="J64" s="85" t="e">
        <f t="shared" ca="1" si="0"/>
        <v>#NAME?</v>
      </c>
      <c r="K64" s="19"/>
      <c r="L64" s="111"/>
      <c r="M64" s="112"/>
      <c r="N64" s="112"/>
      <c r="O64" s="112"/>
      <c r="P64" s="112"/>
      <c r="Q64" s="120"/>
      <c r="R64" s="85" t="e">
        <f t="shared" ca="1" si="1"/>
        <v>#NAME?</v>
      </c>
      <c r="S64" s="83"/>
      <c r="T64" s="90"/>
      <c r="U64" s="91"/>
      <c r="V64" s="91"/>
      <c r="W64" s="91"/>
      <c r="X64" s="91"/>
      <c r="Y64" s="91"/>
      <c r="Z64" s="19"/>
      <c r="AA64" s="24"/>
      <c r="AB64" s="24"/>
      <c r="AC64" s="24"/>
      <c r="AD64" s="83"/>
      <c r="AE64" s="111">
        <v>49.887900000000002</v>
      </c>
      <c r="AF64" s="112">
        <v>51.799500000000002</v>
      </c>
      <c r="AG64" s="120">
        <v>50.527900000000002</v>
      </c>
      <c r="AI64" s="141"/>
      <c r="AJ64" s="141"/>
      <c r="AK64" s="141"/>
      <c r="AL64" s="141"/>
    </row>
    <row r="65" spans="1:38" ht="15" customHeight="1" x14ac:dyDescent="0.2">
      <c r="B65" s="40"/>
      <c r="C65" s="19">
        <v>32</v>
      </c>
      <c r="D65" s="24"/>
      <c r="E65" s="24"/>
      <c r="F65" s="24"/>
      <c r="G65" s="24"/>
      <c r="H65" s="101"/>
      <c r="I65" s="102"/>
      <c r="J65" s="85" t="e">
        <f t="shared" ca="1" si="0"/>
        <v>#NAME?</v>
      </c>
      <c r="K65" s="19"/>
      <c r="L65" s="111"/>
      <c r="M65" s="112"/>
      <c r="N65" s="112"/>
      <c r="O65" s="112"/>
      <c r="P65" s="112"/>
      <c r="Q65" s="120"/>
      <c r="R65" s="85" t="e">
        <f t="shared" ca="1" si="1"/>
        <v>#NAME?</v>
      </c>
      <c r="S65" s="83"/>
      <c r="T65" s="90"/>
      <c r="U65" s="91"/>
      <c r="V65" s="91"/>
      <c r="W65" s="91"/>
      <c r="X65" s="91"/>
      <c r="Y65" s="91"/>
      <c r="Z65" s="19"/>
      <c r="AA65" s="24"/>
      <c r="AB65" s="24"/>
      <c r="AC65" s="24"/>
      <c r="AD65" s="83"/>
      <c r="AE65" s="111">
        <v>44.411499999999997</v>
      </c>
      <c r="AF65" s="112">
        <v>47.435600000000001</v>
      </c>
      <c r="AG65" s="120">
        <v>45.755099999999999</v>
      </c>
      <c r="AI65" s="141"/>
      <c r="AJ65" s="141"/>
      <c r="AK65" s="141"/>
      <c r="AL65" s="141"/>
    </row>
    <row r="66" spans="1:38" ht="15" customHeight="1" thickBot="1" x14ac:dyDescent="0.25">
      <c r="B66" s="79"/>
      <c r="C66" s="20">
        <v>37</v>
      </c>
      <c r="D66" s="33"/>
      <c r="E66" s="33"/>
      <c r="F66" s="33"/>
      <c r="G66" s="33"/>
      <c r="H66" s="107"/>
      <c r="I66" s="108"/>
      <c r="J66" s="87" t="e">
        <f t="shared" ca="1" si="0"/>
        <v>#NAME?</v>
      </c>
      <c r="K66" s="19"/>
      <c r="L66" s="117"/>
      <c r="M66" s="118"/>
      <c r="N66" s="118"/>
      <c r="O66" s="118"/>
      <c r="P66" s="118"/>
      <c r="Q66" s="124"/>
      <c r="R66" s="87" t="e">
        <f t="shared" ca="1" si="1"/>
        <v>#NAME?</v>
      </c>
      <c r="S66" s="83"/>
      <c r="T66" s="96"/>
      <c r="U66" s="97"/>
      <c r="V66" s="97"/>
      <c r="W66" s="97"/>
      <c r="X66" s="97"/>
      <c r="Y66" s="97"/>
      <c r="Z66" s="19"/>
      <c r="AA66" s="33"/>
      <c r="AB66" s="33"/>
      <c r="AC66" s="33"/>
      <c r="AD66" s="83"/>
      <c r="AE66" s="117">
        <v>38.639099999999999</v>
      </c>
      <c r="AF66" s="118">
        <v>43.136800000000001</v>
      </c>
      <c r="AG66" s="124">
        <v>41.245199999999997</v>
      </c>
      <c r="AI66" s="141"/>
      <c r="AJ66" s="141"/>
      <c r="AK66" s="141"/>
      <c r="AL66" s="141"/>
    </row>
    <row r="67" spans="1:38" ht="15" customHeight="1" x14ac:dyDescent="0.25">
      <c r="A67" s="54" t="s">
        <v>27</v>
      </c>
      <c r="B67" s="80" t="s">
        <v>52</v>
      </c>
      <c r="C67" s="18">
        <v>22</v>
      </c>
      <c r="D67" s="43"/>
      <c r="E67" s="43"/>
      <c r="F67" s="43"/>
      <c r="G67" s="43"/>
      <c r="H67" s="99"/>
      <c r="I67" s="100"/>
      <c r="J67" s="85" t="e">
        <f t="shared" ca="1" si="0"/>
        <v>#NAME?</v>
      </c>
      <c r="K67" s="19"/>
      <c r="L67" s="111"/>
      <c r="M67" s="112"/>
      <c r="N67" s="112"/>
      <c r="O67" s="112"/>
      <c r="P67" s="112"/>
      <c r="Q67" s="120"/>
      <c r="R67" s="85" t="e">
        <f t="shared" ca="1" si="1"/>
        <v>#NAME?</v>
      </c>
      <c r="S67" s="83"/>
      <c r="T67" s="90" t="e">
        <f ca="1">bdrate(D67:D70,E67:E70,L67:L70,M67:M70)</f>
        <v>#NAME?</v>
      </c>
      <c r="U67" s="91" t="e">
        <f ca="1">bdrate(D67:D70,F67:F70,L67:L70,N67:N70)</f>
        <v>#NAME?</v>
      </c>
      <c r="V67" s="91" t="e">
        <f ca="1">bdrate(D67:D70,G67:G70,L67:L70,O67:O70)</f>
        <v>#NAME?</v>
      </c>
      <c r="W67" s="91" t="e">
        <f ca="1">bdrateOld(D67:D70,E67:E70,L67:L70,M67:M70)</f>
        <v>#NAME?</v>
      </c>
      <c r="X67" s="91" t="e">
        <f ca="1">bdrateOld(D67:D70,F67:F70,L67:L70,N67:N70)</f>
        <v>#NAME?</v>
      </c>
      <c r="Y67" s="91" t="e">
        <f ca="1">bdrateOld(D67:D70,G67:G70,L67:L70,O67:O70)</f>
        <v>#NAME?</v>
      </c>
      <c r="Z67" s="19"/>
      <c r="AA67" s="43"/>
      <c r="AB67" s="43"/>
      <c r="AC67" s="43"/>
      <c r="AD67" s="83"/>
      <c r="AE67" s="111">
        <v>53.514499999999998</v>
      </c>
      <c r="AF67" s="112">
        <v>55.575499999999998</v>
      </c>
      <c r="AG67" s="120">
        <v>55.747300000000003</v>
      </c>
      <c r="AI67" s="141"/>
      <c r="AJ67" s="141"/>
      <c r="AK67" s="141"/>
      <c r="AL67" s="141"/>
    </row>
    <row r="68" spans="1:38" ht="15" customHeight="1" x14ac:dyDescent="0.2">
      <c r="B68" s="40"/>
      <c r="C68" s="19">
        <v>27</v>
      </c>
      <c r="D68" s="24"/>
      <c r="E68" s="24"/>
      <c r="F68" s="24"/>
      <c r="G68" s="24"/>
      <c r="H68" s="101"/>
      <c r="I68" s="102"/>
      <c r="J68" s="85" t="e">
        <f t="shared" ca="1" si="0"/>
        <v>#NAME?</v>
      </c>
      <c r="K68" s="19"/>
      <c r="L68" s="111"/>
      <c r="M68" s="112"/>
      <c r="N68" s="112"/>
      <c r="O68" s="112"/>
      <c r="P68" s="112"/>
      <c r="Q68" s="120"/>
      <c r="R68" s="85" t="e">
        <f t="shared" ca="1" si="1"/>
        <v>#NAME?</v>
      </c>
      <c r="S68" s="83"/>
      <c r="T68" s="90"/>
      <c r="U68" s="91"/>
      <c r="V68" s="91"/>
      <c r="W68" s="91"/>
      <c r="X68" s="91"/>
      <c r="Y68" s="91"/>
      <c r="Z68" s="19"/>
      <c r="AA68" s="24"/>
      <c r="AB68" s="24"/>
      <c r="AC68" s="24"/>
      <c r="AD68" s="83"/>
      <c r="AE68" s="111">
        <v>49.296999999999997</v>
      </c>
      <c r="AF68" s="112">
        <v>50.7669</v>
      </c>
      <c r="AG68" s="120">
        <v>50.958199999999998</v>
      </c>
      <c r="AI68" s="141"/>
      <c r="AJ68" s="141"/>
      <c r="AK68" s="141"/>
      <c r="AL68" s="141"/>
    </row>
    <row r="69" spans="1:38" ht="15" customHeight="1" x14ac:dyDescent="0.2">
      <c r="B69" s="40"/>
      <c r="C69" s="19">
        <v>32</v>
      </c>
      <c r="D69" s="24"/>
      <c r="E69" s="24"/>
      <c r="F69" s="24"/>
      <c r="G69" s="24"/>
      <c r="H69" s="101"/>
      <c r="I69" s="102"/>
      <c r="J69" s="85" t="e">
        <f t="shared" ref="J69:J106" ca="1" si="2">secToHours(H69)</f>
        <v>#NAME?</v>
      </c>
      <c r="K69" s="19"/>
      <c r="L69" s="111"/>
      <c r="M69" s="112"/>
      <c r="N69" s="112"/>
      <c r="O69" s="112"/>
      <c r="P69" s="112"/>
      <c r="Q69" s="120"/>
      <c r="R69" s="85" t="e">
        <f t="shared" ref="R69:R106" ca="1" si="3">secToHours(P69)</f>
        <v>#NAME?</v>
      </c>
      <c r="S69" s="83"/>
      <c r="T69" s="90"/>
      <c r="U69" s="91"/>
      <c r="V69" s="91"/>
      <c r="W69" s="91"/>
      <c r="X69" s="91"/>
      <c r="Y69" s="91"/>
      <c r="Z69" s="19"/>
      <c r="AA69" s="24"/>
      <c r="AB69" s="24"/>
      <c r="AC69" s="24"/>
      <c r="AD69" s="83"/>
      <c r="AE69" s="111">
        <v>44.173699999999997</v>
      </c>
      <c r="AF69" s="112">
        <v>45.837699999999998</v>
      </c>
      <c r="AG69" s="120">
        <v>45.8733</v>
      </c>
      <c r="AI69" s="141"/>
      <c r="AJ69" s="141"/>
      <c r="AK69" s="141"/>
      <c r="AL69" s="141"/>
    </row>
    <row r="70" spans="1:38" ht="15" customHeight="1" x14ac:dyDescent="0.2">
      <c r="B70" s="41"/>
      <c r="C70" s="19">
        <v>37</v>
      </c>
      <c r="D70" s="24"/>
      <c r="E70" s="24"/>
      <c r="F70" s="24"/>
      <c r="G70" s="24"/>
      <c r="H70" s="101"/>
      <c r="I70" s="102"/>
      <c r="J70" s="86" t="e">
        <f t="shared" ca="1" si="2"/>
        <v>#NAME?</v>
      </c>
      <c r="K70" s="19"/>
      <c r="L70" s="111"/>
      <c r="M70" s="112"/>
      <c r="N70" s="112"/>
      <c r="O70" s="112"/>
      <c r="P70" s="112"/>
      <c r="Q70" s="120"/>
      <c r="R70" s="86" t="e">
        <f t="shared" ca="1" si="3"/>
        <v>#NAME?</v>
      </c>
      <c r="S70" s="83"/>
      <c r="T70" s="90"/>
      <c r="U70" s="91"/>
      <c r="V70" s="91"/>
      <c r="W70" s="91"/>
      <c r="X70" s="91"/>
      <c r="Y70" s="91"/>
      <c r="Z70" s="19"/>
      <c r="AA70" s="24"/>
      <c r="AB70" s="24"/>
      <c r="AC70" s="24"/>
      <c r="AD70" s="83"/>
      <c r="AE70" s="111">
        <v>38.820500000000003</v>
      </c>
      <c r="AF70" s="112">
        <v>39.773499999999999</v>
      </c>
      <c r="AG70" s="120">
        <v>41.520099999999999</v>
      </c>
      <c r="AI70" s="141"/>
      <c r="AJ70" s="141"/>
      <c r="AK70" s="141"/>
      <c r="AL70" s="141"/>
    </row>
    <row r="71" spans="1:38" ht="15" customHeight="1" x14ac:dyDescent="0.2">
      <c r="B71" s="39" t="s">
        <v>53</v>
      </c>
      <c r="C71" s="61">
        <v>22</v>
      </c>
      <c r="D71" s="31"/>
      <c r="E71" s="31"/>
      <c r="F71" s="31"/>
      <c r="G71" s="31"/>
      <c r="H71" s="105"/>
      <c r="I71" s="106"/>
      <c r="J71" s="85" t="e">
        <f t="shared" ca="1" si="2"/>
        <v>#NAME?</v>
      </c>
      <c r="K71" s="19"/>
      <c r="L71" s="115"/>
      <c r="M71" s="116"/>
      <c r="N71" s="116"/>
      <c r="O71" s="116"/>
      <c r="P71" s="116"/>
      <c r="Q71" s="125"/>
      <c r="R71" s="85" t="e">
        <f t="shared" ca="1" si="3"/>
        <v>#NAME?</v>
      </c>
      <c r="S71" s="83"/>
      <c r="T71" s="94" t="e">
        <f ca="1">bdrate(D71:D74,E71:E74,L71:L74,M71:M74)</f>
        <v>#NAME?</v>
      </c>
      <c r="U71" s="95" t="e">
        <f ca="1">bdrate(D71:D74,F71:F74,L71:L74,N71:N74)</f>
        <v>#NAME?</v>
      </c>
      <c r="V71" s="95" t="e">
        <f ca="1">bdrate(D71:D74,G71:G74,L71:L74,O71:O74)</f>
        <v>#NAME?</v>
      </c>
      <c r="W71" s="95" t="e">
        <f ca="1">bdrateOld(D71:D74,E71:E74,L71:L74,M71:M74)</f>
        <v>#NAME?</v>
      </c>
      <c r="X71" s="95" t="e">
        <f ca="1">bdrateOld(D71:D74,F71:F74,L71:L74,N71:N74)</f>
        <v>#NAME?</v>
      </c>
      <c r="Y71" s="95" t="e">
        <f ca="1">bdrateOld(D71:D74,G71:G74,L71:L74,O71:O74)</f>
        <v>#NAME?</v>
      </c>
      <c r="Z71" s="19"/>
      <c r="AA71" s="31"/>
      <c r="AB71" s="31"/>
      <c r="AC71" s="31"/>
      <c r="AD71" s="83"/>
      <c r="AE71" s="115">
        <v>47.362200000000001</v>
      </c>
      <c r="AF71" s="116">
        <v>51.137300000000003</v>
      </c>
      <c r="AG71" s="125">
        <v>53.236400000000003</v>
      </c>
      <c r="AI71" s="141"/>
      <c r="AJ71" s="141"/>
      <c r="AK71" s="141"/>
      <c r="AL71" s="141"/>
    </row>
    <row r="72" spans="1:38" ht="15" customHeight="1" x14ac:dyDescent="0.2">
      <c r="B72" s="40"/>
      <c r="C72" s="19">
        <v>27</v>
      </c>
      <c r="D72" s="24"/>
      <c r="E72" s="24"/>
      <c r="F72" s="24"/>
      <c r="G72" s="24"/>
      <c r="H72" s="101"/>
      <c r="I72" s="102"/>
      <c r="J72" s="85" t="e">
        <f t="shared" ca="1" si="2"/>
        <v>#NAME?</v>
      </c>
      <c r="K72" s="19"/>
      <c r="L72" s="111"/>
      <c r="M72" s="112"/>
      <c r="N72" s="112"/>
      <c r="O72" s="112"/>
      <c r="P72" s="112"/>
      <c r="Q72" s="120"/>
      <c r="R72" s="85" t="e">
        <f t="shared" ca="1" si="3"/>
        <v>#NAME?</v>
      </c>
      <c r="S72" s="83"/>
      <c r="T72" s="90"/>
      <c r="U72" s="91"/>
      <c r="V72" s="91"/>
      <c r="W72" s="91"/>
      <c r="X72" s="91"/>
      <c r="Y72" s="91"/>
      <c r="Z72" s="19"/>
      <c r="AA72" s="24"/>
      <c r="AB72" s="24"/>
      <c r="AC72" s="24"/>
      <c r="AD72" s="83"/>
      <c r="AE72" s="111">
        <v>42.753300000000003</v>
      </c>
      <c r="AF72" s="112">
        <v>47.685600000000001</v>
      </c>
      <c r="AG72" s="120">
        <v>50.451700000000002</v>
      </c>
      <c r="AI72" s="141"/>
      <c r="AJ72" s="141"/>
      <c r="AK72" s="141"/>
      <c r="AL72" s="141"/>
    </row>
    <row r="73" spans="1:38" ht="15" customHeight="1" x14ac:dyDescent="0.2">
      <c r="B73" s="40"/>
      <c r="C73" s="19">
        <v>32</v>
      </c>
      <c r="D73" s="24"/>
      <c r="E73" s="24"/>
      <c r="F73" s="24"/>
      <c r="G73" s="24"/>
      <c r="H73" s="101"/>
      <c r="I73" s="102"/>
      <c r="J73" s="85" t="e">
        <f t="shared" ca="1" si="2"/>
        <v>#NAME?</v>
      </c>
      <c r="K73" s="19"/>
      <c r="L73" s="111"/>
      <c r="M73" s="112"/>
      <c r="N73" s="112"/>
      <c r="O73" s="112"/>
      <c r="P73" s="112"/>
      <c r="Q73" s="120"/>
      <c r="R73" s="85" t="e">
        <f t="shared" ca="1" si="3"/>
        <v>#NAME?</v>
      </c>
      <c r="S73" s="83"/>
      <c r="T73" s="90"/>
      <c r="U73" s="91"/>
      <c r="V73" s="91"/>
      <c r="W73" s="91"/>
      <c r="X73" s="91"/>
      <c r="Y73" s="91"/>
      <c r="Z73" s="19"/>
      <c r="AA73" s="24"/>
      <c r="AB73" s="24"/>
      <c r="AC73" s="24"/>
      <c r="AD73" s="83"/>
      <c r="AE73" s="111">
        <v>38.437600000000003</v>
      </c>
      <c r="AF73" s="112">
        <v>44.152999999999999</v>
      </c>
      <c r="AG73" s="120">
        <v>47.429200000000002</v>
      </c>
      <c r="AI73" s="141"/>
      <c r="AJ73" s="141"/>
      <c r="AK73" s="141"/>
      <c r="AL73" s="141"/>
    </row>
    <row r="74" spans="1:38" ht="15" customHeight="1" x14ac:dyDescent="0.2">
      <c r="B74" s="51"/>
      <c r="C74" s="60">
        <v>37</v>
      </c>
      <c r="D74" s="25"/>
      <c r="E74" s="25"/>
      <c r="F74" s="25"/>
      <c r="G74" s="25"/>
      <c r="H74" s="103"/>
      <c r="I74" s="104"/>
      <c r="J74" s="86" t="e">
        <f t="shared" ca="1" si="2"/>
        <v>#NAME?</v>
      </c>
      <c r="K74" s="19"/>
      <c r="L74" s="113"/>
      <c r="M74" s="114"/>
      <c r="N74" s="114"/>
      <c r="O74" s="114"/>
      <c r="P74" s="114"/>
      <c r="Q74" s="121"/>
      <c r="R74" s="86" t="e">
        <f t="shared" ca="1" si="3"/>
        <v>#NAME?</v>
      </c>
      <c r="S74" s="83"/>
      <c r="T74" s="92"/>
      <c r="U74" s="93"/>
      <c r="V74" s="93"/>
      <c r="W74" s="93"/>
      <c r="X74" s="93"/>
      <c r="Y74" s="93"/>
      <c r="Z74" s="19"/>
      <c r="AA74" s="25"/>
      <c r="AB74" s="25"/>
      <c r="AC74" s="25"/>
      <c r="AD74" s="83"/>
      <c r="AE74" s="113">
        <v>34.6631</v>
      </c>
      <c r="AF74" s="114">
        <v>40.488799999999998</v>
      </c>
      <c r="AG74" s="121">
        <v>44.271299999999997</v>
      </c>
      <c r="AI74" s="141"/>
      <c r="AJ74" s="141"/>
      <c r="AK74" s="141"/>
      <c r="AL74" s="141"/>
    </row>
    <row r="75" spans="1:38" ht="15" customHeight="1" x14ac:dyDescent="0.2">
      <c r="B75" s="37" t="s">
        <v>54</v>
      </c>
      <c r="C75" s="19">
        <v>22</v>
      </c>
      <c r="D75" s="31"/>
      <c r="E75" s="31"/>
      <c r="F75" s="31"/>
      <c r="G75" s="31"/>
      <c r="H75" s="105"/>
      <c r="I75" s="106"/>
      <c r="J75" s="85" t="e">
        <f t="shared" ca="1" si="2"/>
        <v>#NAME?</v>
      </c>
      <c r="K75" s="19"/>
      <c r="L75" s="115"/>
      <c r="M75" s="116"/>
      <c r="N75" s="116"/>
      <c r="O75" s="116"/>
      <c r="P75" s="116"/>
      <c r="Q75" s="125"/>
      <c r="R75" s="85" t="e">
        <f t="shared" ca="1" si="3"/>
        <v>#NAME?</v>
      </c>
      <c r="S75" s="83"/>
      <c r="T75" s="94" t="e">
        <f ca="1">bdrate(D75:D78,E75:E78,L75:L78,M75:M78)</f>
        <v>#NAME?</v>
      </c>
      <c r="U75" s="95" t="e">
        <f ca="1">bdrate(D75:D78,F75:F78,L75:L78,N75:N78)</f>
        <v>#NAME?</v>
      </c>
      <c r="V75" s="95" t="e">
        <f ca="1">bdrate(D75:D78,G75:G78,L75:L78,O75:O78)</f>
        <v>#NAME?</v>
      </c>
      <c r="W75" s="95" t="e">
        <f ca="1">bdrateOld(D75:D78,E75:E78,L75:L78,M75:M78)</f>
        <v>#NAME?</v>
      </c>
      <c r="X75" s="95" t="e">
        <f ca="1">bdrateOld(D75:D78,F75:F78,L75:L78,N75:N78)</f>
        <v>#NAME?</v>
      </c>
      <c r="Y75" s="95" t="e">
        <f ca="1">bdrateOld(D75:D78,G75:G78,L75:L78,O75:O78)</f>
        <v>#NAME?</v>
      </c>
      <c r="Z75" s="19"/>
      <c r="AA75" s="31"/>
      <c r="AB75" s="31"/>
      <c r="AC75" s="31"/>
      <c r="AD75" s="83"/>
      <c r="AE75" s="115">
        <v>47.702199999999998</v>
      </c>
      <c r="AF75" s="116">
        <v>47.108600000000003</v>
      </c>
      <c r="AG75" s="125">
        <v>48.136499999999998</v>
      </c>
      <c r="AI75" s="141"/>
      <c r="AJ75" s="141"/>
      <c r="AK75" s="141"/>
      <c r="AL75" s="141"/>
    </row>
    <row r="76" spans="1:38" ht="15" customHeight="1" x14ac:dyDescent="0.2">
      <c r="B76" s="36"/>
      <c r="C76" s="19">
        <v>27</v>
      </c>
      <c r="D76" s="24"/>
      <c r="E76" s="24"/>
      <c r="F76" s="24"/>
      <c r="G76" s="24"/>
      <c r="H76" s="101"/>
      <c r="I76" s="102"/>
      <c r="J76" s="85" t="e">
        <f t="shared" ca="1" si="2"/>
        <v>#NAME?</v>
      </c>
      <c r="K76" s="19"/>
      <c r="L76" s="111"/>
      <c r="M76" s="112"/>
      <c r="N76" s="112"/>
      <c r="O76" s="112"/>
      <c r="P76" s="112"/>
      <c r="Q76" s="120"/>
      <c r="R76" s="85" t="e">
        <f t="shared" ca="1" si="3"/>
        <v>#NAME?</v>
      </c>
      <c r="S76" s="83"/>
      <c r="T76" s="90"/>
      <c r="U76" s="91"/>
      <c r="V76" s="91"/>
      <c r="W76" s="91"/>
      <c r="X76" s="91"/>
      <c r="Y76" s="91"/>
      <c r="Z76" s="19"/>
      <c r="AA76" s="24"/>
      <c r="AB76" s="24"/>
      <c r="AC76" s="24"/>
      <c r="AD76" s="83"/>
      <c r="AE76" s="111">
        <v>43.379399999999997</v>
      </c>
      <c r="AF76" s="112">
        <v>42.766500000000001</v>
      </c>
      <c r="AG76" s="120">
        <v>44.497500000000002</v>
      </c>
      <c r="AI76" s="141"/>
      <c r="AJ76" s="141"/>
      <c r="AK76" s="141"/>
      <c r="AL76" s="141"/>
    </row>
    <row r="77" spans="1:38" ht="15" customHeight="1" x14ac:dyDescent="0.2">
      <c r="B77" s="36"/>
      <c r="C77" s="19">
        <v>32</v>
      </c>
      <c r="D77" s="24"/>
      <c r="E77" s="24"/>
      <c r="F77" s="24"/>
      <c r="G77" s="24"/>
      <c r="H77" s="101"/>
      <c r="I77" s="102"/>
      <c r="J77" s="85" t="e">
        <f t="shared" ca="1" si="2"/>
        <v>#NAME?</v>
      </c>
      <c r="K77" s="19"/>
      <c r="L77" s="111"/>
      <c r="M77" s="112"/>
      <c r="N77" s="112"/>
      <c r="O77" s="112"/>
      <c r="P77" s="112"/>
      <c r="Q77" s="120"/>
      <c r="R77" s="85" t="e">
        <f t="shared" ca="1" si="3"/>
        <v>#NAME?</v>
      </c>
      <c r="S77" s="83"/>
      <c r="T77" s="90"/>
      <c r="U77" s="91"/>
      <c r="V77" s="91"/>
      <c r="W77" s="91"/>
      <c r="X77" s="91"/>
      <c r="Y77" s="98"/>
      <c r="Z77" s="19"/>
      <c r="AA77" s="24"/>
      <c r="AB77" s="24"/>
      <c r="AC77" s="24"/>
      <c r="AD77" s="83"/>
      <c r="AE77" s="111">
        <v>39.212699999999998</v>
      </c>
      <c r="AF77" s="112">
        <v>39.032699999999998</v>
      </c>
      <c r="AG77" s="120">
        <v>41.2776</v>
      </c>
      <c r="AI77" s="141"/>
      <c r="AJ77" s="141"/>
      <c r="AK77" s="141"/>
      <c r="AL77" s="141"/>
    </row>
    <row r="78" spans="1:38" ht="15" customHeight="1" x14ac:dyDescent="0.2">
      <c r="B78" s="36"/>
      <c r="C78" s="19">
        <v>37</v>
      </c>
      <c r="D78" s="25"/>
      <c r="E78" s="25"/>
      <c r="F78" s="25"/>
      <c r="G78" s="25"/>
      <c r="H78" s="103"/>
      <c r="I78" s="104"/>
      <c r="J78" s="86" t="e">
        <f t="shared" ca="1" si="2"/>
        <v>#NAME?</v>
      </c>
      <c r="K78" s="19"/>
      <c r="L78" s="113"/>
      <c r="M78" s="114"/>
      <c r="N78" s="114"/>
      <c r="O78" s="114"/>
      <c r="P78" s="114"/>
      <c r="Q78" s="121"/>
      <c r="R78" s="86" t="e">
        <f t="shared" ca="1" si="3"/>
        <v>#NAME?</v>
      </c>
      <c r="S78" s="83"/>
      <c r="T78" s="92"/>
      <c r="U78" s="93"/>
      <c r="V78" s="93"/>
      <c r="W78" s="93"/>
      <c r="X78" s="93"/>
      <c r="Y78" s="93"/>
      <c r="Z78" s="19"/>
      <c r="AA78" s="25"/>
      <c r="AB78" s="25"/>
      <c r="AC78" s="25"/>
      <c r="AD78" s="83"/>
      <c r="AE78" s="113">
        <v>35.433900000000001</v>
      </c>
      <c r="AF78" s="114">
        <v>36.298299999999998</v>
      </c>
      <c r="AG78" s="121">
        <v>38.592599999999997</v>
      </c>
      <c r="AI78" s="141"/>
      <c r="AJ78" s="141"/>
      <c r="AK78" s="141"/>
      <c r="AL78" s="141"/>
    </row>
    <row r="79" spans="1:38" ht="15" customHeight="1" x14ac:dyDescent="0.2">
      <c r="B79" s="37" t="s">
        <v>55</v>
      </c>
      <c r="C79" s="61">
        <v>22</v>
      </c>
      <c r="D79" s="24"/>
      <c r="E79" s="24"/>
      <c r="F79" s="24"/>
      <c r="G79" s="24"/>
      <c r="H79" s="101"/>
      <c r="I79" s="102"/>
      <c r="J79" s="85" t="e">
        <f t="shared" ca="1" si="2"/>
        <v>#NAME?</v>
      </c>
      <c r="K79" s="19"/>
      <c r="L79" s="111"/>
      <c r="M79" s="112"/>
      <c r="N79" s="112"/>
      <c r="O79" s="112"/>
      <c r="P79" s="112"/>
      <c r="Q79" s="120"/>
      <c r="R79" s="85" t="e">
        <f t="shared" ca="1" si="3"/>
        <v>#NAME?</v>
      </c>
      <c r="S79" s="83"/>
      <c r="T79" s="90" t="e">
        <f ca="1">bdrate(D79:D82,E79:E82,L79:L82,M79:M82)</f>
        <v>#NAME?</v>
      </c>
      <c r="U79" s="91" t="e">
        <f ca="1">bdrate(D79:D82,F79:F82,L79:L82,N79:N82)</f>
        <v>#NAME?</v>
      </c>
      <c r="V79" s="91" t="e">
        <f ca="1">bdrate(D79:D82,G79:G82,L79:L82,O79:O82)</f>
        <v>#NAME?</v>
      </c>
      <c r="W79" s="91" t="e">
        <f ca="1">bdrateOld(D79:D82,E79:E82,L79:L82,M79:M82)</f>
        <v>#NAME?</v>
      </c>
      <c r="X79" s="91" t="e">
        <f ca="1">bdrateOld(D79:D82,F79:F82,L79:L82,N79:N82)</f>
        <v>#NAME?</v>
      </c>
      <c r="Y79" s="91" t="e">
        <f ca="1">bdrateOld(D79:D82,G79:G82,L79:L82,O79:O82)</f>
        <v>#NAME?</v>
      </c>
      <c r="Z79" s="19"/>
      <c r="AA79" s="24"/>
      <c r="AB79" s="24"/>
      <c r="AC79" s="24"/>
      <c r="AD79" s="83"/>
      <c r="AE79" s="111">
        <v>49.427500000000002</v>
      </c>
      <c r="AF79" s="112">
        <v>54.592199999999998</v>
      </c>
      <c r="AG79" s="120">
        <v>55.761899999999997</v>
      </c>
      <c r="AI79" s="141"/>
      <c r="AJ79" s="141"/>
      <c r="AK79" s="141"/>
      <c r="AL79" s="141"/>
    </row>
    <row r="80" spans="1:38" ht="15" customHeight="1" x14ac:dyDescent="0.2">
      <c r="B80" s="36"/>
      <c r="C80" s="19">
        <v>27</v>
      </c>
      <c r="D80" s="24"/>
      <c r="E80" s="24"/>
      <c r="F80" s="24"/>
      <c r="G80" s="24"/>
      <c r="H80" s="101"/>
      <c r="I80" s="102"/>
      <c r="J80" s="85" t="e">
        <f t="shared" ca="1" si="2"/>
        <v>#NAME?</v>
      </c>
      <c r="K80" s="19"/>
      <c r="L80" s="111"/>
      <c r="M80" s="112"/>
      <c r="N80" s="112"/>
      <c r="O80" s="112"/>
      <c r="P80" s="112"/>
      <c r="Q80" s="120"/>
      <c r="R80" s="85" t="e">
        <f t="shared" ca="1" si="3"/>
        <v>#NAME?</v>
      </c>
      <c r="S80" s="83"/>
      <c r="T80" s="90"/>
      <c r="U80" s="91"/>
      <c r="V80" s="91"/>
      <c r="W80" s="91"/>
      <c r="X80" s="91"/>
      <c r="Y80" s="91"/>
      <c r="Z80" s="19"/>
      <c r="AA80" s="24"/>
      <c r="AB80" s="24"/>
      <c r="AC80" s="24"/>
      <c r="AD80" s="83"/>
      <c r="AE80" s="111">
        <v>45.764200000000002</v>
      </c>
      <c r="AF80" s="112">
        <v>51.6447</v>
      </c>
      <c r="AG80" s="120">
        <v>52.9878</v>
      </c>
      <c r="AI80" s="141"/>
      <c r="AJ80" s="141"/>
      <c r="AK80" s="141"/>
      <c r="AL80" s="141"/>
    </row>
    <row r="81" spans="1:38" ht="15" customHeight="1" x14ac:dyDescent="0.2">
      <c r="B81" s="36"/>
      <c r="C81" s="19">
        <v>32</v>
      </c>
      <c r="D81" s="24"/>
      <c r="E81" s="24"/>
      <c r="F81" s="24"/>
      <c r="G81" s="24"/>
      <c r="H81" s="101"/>
      <c r="I81" s="102"/>
      <c r="J81" s="85" t="e">
        <f t="shared" ca="1" si="2"/>
        <v>#NAME?</v>
      </c>
      <c r="K81" s="19"/>
      <c r="L81" s="111"/>
      <c r="M81" s="112"/>
      <c r="N81" s="112"/>
      <c r="O81" s="112"/>
      <c r="P81" s="112"/>
      <c r="Q81" s="120"/>
      <c r="R81" s="85" t="e">
        <f t="shared" ca="1" si="3"/>
        <v>#NAME?</v>
      </c>
      <c r="S81" s="83"/>
      <c r="T81" s="90"/>
      <c r="U81" s="91"/>
      <c r="V81" s="91"/>
      <c r="W81" s="91"/>
      <c r="X81" s="91"/>
      <c r="Y81" s="91"/>
      <c r="Z81" s="19"/>
      <c r="AA81" s="24"/>
      <c r="AB81" s="24"/>
      <c r="AC81" s="24"/>
      <c r="AD81" s="83"/>
      <c r="AE81" s="111">
        <v>42.340600000000002</v>
      </c>
      <c r="AF81" s="112">
        <v>48.821899999999999</v>
      </c>
      <c r="AG81" s="120">
        <v>50.4131</v>
      </c>
      <c r="AI81" s="141"/>
      <c r="AJ81" s="141"/>
      <c r="AK81" s="141"/>
      <c r="AL81" s="141"/>
    </row>
    <row r="82" spans="1:38" ht="15" customHeight="1" thickBot="1" x14ac:dyDescent="0.25">
      <c r="B82" s="42"/>
      <c r="C82" s="20">
        <v>37</v>
      </c>
      <c r="D82" s="33"/>
      <c r="E82" s="33"/>
      <c r="F82" s="33"/>
      <c r="G82" s="33"/>
      <c r="H82" s="107"/>
      <c r="I82" s="108"/>
      <c r="J82" s="87" t="e">
        <f t="shared" ca="1" si="2"/>
        <v>#NAME?</v>
      </c>
      <c r="K82" s="19"/>
      <c r="L82" s="117"/>
      <c r="M82" s="118"/>
      <c r="N82" s="118"/>
      <c r="O82" s="118"/>
      <c r="P82" s="118"/>
      <c r="Q82" s="124"/>
      <c r="R82" s="87" t="e">
        <f t="shared" ca="1" si="3"/>
        <v>#NAME?</v>
      </c>
      <c r="S82" s="83"/>
      <c r="T82" s="96"/>
      <c r="U82" s="97"/>
      <c r="V82" s="97"/>
      <c r="W82" s="97"/>
      <c r="X82" s="97"/>
      <c r="Y82" s="97"/>
      <c r="Z82" s="19"/>
      <c r="AA82" s="33"/>
      <c r="AB82" s="33"/>
      <c r="AC82" s="33"/>
      <c r="AD82" s="83"/>
      <c r="AE82" s="117">
        <v>38.926699999999997</v>
      </c>
      <c r="AF82" s="118">
        <v>46.035699999999999</v>
      </c>
      <c r="AG82" s="124">
        <v>47.878999999999998</v>
      </c>
      <c r="AI82" s="141"/>
      <c r="AJ82" s="141"/>
      <c r="AK82" s="141"/>
      <c r="AL82" s="141"/>
    </row>
    <row r="83" spans="1:38" ht="15" customHeight="1" x14ac:dyDescent="0.25">
      <c r="A83" s="54" t="s">
        <v>28</v>
      </c>
      <c r="B83" s="34" t="s">
        <v>45</v>
      </c>
      <c r="C83" s="18">
        <v>22</v>
      </c>
      <c r="D83" s="43"/>
      <c r="E83" s="43"/>
      <c r="F83" s="43"/>
      <c r="G83" s="43"/>
      <c r="H83" s="99"/>
      <c r="I83" s="100"/>
      <c r="J83" s="85" t="e">
        <f t="shared" ca="1" si="2"/>
        <v>#NAME?</v>
      </c>
      <c r="K83" s="19"/>
      <c r="L83" s="111"/>
      <c r="M83" s="112"/>
      <c r="N83" s="112"/>
      <c r="O83" s="112"/>
      <c r="P83" s="112"/>
      <c r="Q83" s="120"/>
      <c r="R83" s="85" t="e">
        <f t="shared" ca="1" si="3"/>
        <v>#NAME?</v>
      </c>
      <c r="S83" s="83"/>
      <c r="T83" s="90" t="e">
        <f ca="1">bdrate(D83:D86,E83:E86,L83:L86,M83:M86)</f>
        <v>#NAME?</v>
      </c>
      <c r="U83" s="91" t="e">
        <f ca="1">bdrate(D83:D86,F83:F86,L83:L86,N83:N86)</f>
        <v>#NAME?</v>
      </c>
      <c r="V83" s="91" t="e">
        <f ca="1">bdrate(D83:D86,G83:G86,L83:L86,O83:O86)</f>
        <v>#NAME?</v>
      </c>
      <c r="W83" s="91" t="e">
        <f ca="1">bdrateOld(D83:D86,E83:E86,L83:L86,M83:M86)</f>
        <v>#NAME?</v>
      </c>
      <c r="X83" s="91" t="e">
        <f ca="1">bdrateOld(D83:D86,F83:F86,L83:L86,N83:N86)</f>
        <v>#NAME?</v>
      </c>
      <c r="Y83" s="91" t="e">
        <f ca="1">bdrateOld(D83:D86,G83:G86,L83:L86,O83:O86)</f>
        <v>#NAME?</v>
      </c>
      <c r="Z83" s="19"/>
      <c r="AA83" s="43"/>
      <c r="AB83" s="43"/>
      <c r="AC83" s="43"/>
      <c r="AD83" s="83"/>
      <c r="AE83" s="111">
        <v>46.337699999999998</v>
      </c>
      <c r="AF83" s="112">
        <v>50.1937</v>
      </c>
      <c r="AG83" s="120">
        <v>50.239400000000003</v>
      </c>
      <c r="AI83" s="141"/>
      <c r="AJ83" s="141"/>
      <c r="AK83" s="141"/>
      <c r="AL83" s="141"/>
    </row>
    <row r="84" spans="1:38" ht="15" customHeight="1" x14ac:dyDescent="0.2">
      <c r="B84" s="36"/>
      <c r="C84" s="19">
        <v>27</v>
      </c>
      <c r="D84" s="24"/>
      <c r="E84" s="24"/>
      <c r="F84" s="24"/>
      <c r="G84" s="24"/>
      <c r="H84" s="101"/>
      <c r="I84" s="102"/>
      <c r="J84" s="85" t="e">
        <f t="shared" ca="1" si="2"/>
        <v>#NAME?</v>
      </c>
      <c r="K84" s="19"/>
      <c r="L84" s="111"/>
      <c r="M84" s="112"/>
      <c r="N84" s="112"/>
      <c r="O84" s="112"/>
      <c r="P84" s="112"/>
      <c r="Q84" s="120"/>
      <c r="R84" s="85" t="e">
        <f t="shared" ca="1" si="3"/>
        <v>#NAME?</v>
      </c>
      <c r="S84" s="83"/>
      <c r="T84" s="90"/>
      <c r="U84" s="91"/>
      <c r="V84" s="91"/>
      <c r="W84" s="91"/>
      <c r="X84" s="91"/>
      <c r="Y84" s="91"/>
      <c r="Z84" s="19"/>
      <c r="AA84" s="24"/>
      <c r="AB84" s="24"/>
      <c r="AC84" s="24"/>
      <c r="AD84" s="83"/>
      <c r="AE84" s="111">
        <v>43.001800000000003</v>
      </c>
      <c r="AF84" s="112">
        <v>47.243000000000002</v>
      </c>
      <c r="AG84" s="120">
        <v>47.159399999999998</v>
      </c>
      <c r="AI84" s="141"/>
      <c r="AJ84" s="141"/>
      <c r="AK84" s="141"/>
      <c r="AL84" s="141"/>
    </row>
    <row r="85" spans="1:38" ht="15" customHeight="1" x14ac:dyDescent="0.2">
      <c r="B85" s="36"/>
      <c r="C85" s="19">
        <v>32</v>
      </c>
      <c r="D85" s="24"/>
      <c r="E85" s="24"/>
      <c r="F85" s="24"/>
      <c r="G85" s="24"/>
      <c r="H85" s="101"/>
      <c r="I85" s="102"/>
      <c r="J85" s="85" t="e">
        <f t="shared" ca="1" si="2"/>
        <v>#NAME?</v>
      </c>
      <c r="K85" s="19"/>
      <c r="L85" s="111"/>
      <c r="M85" s="112"/>
      <c r="N85" s="112"/>
      <c r="O85" s="112"/>
      <c r="P85" s="112"/>
      <c r="Q85" s="120"/>
      <c r="R85" s="85" t="e">
        <f t="shared" ca="1" si="3"/>
        <v>#NAME?</v>
      </c>
      <c r="S85" s="83"/>
      <c r="T85" s="90"/>
      <c r="U85" s="91"/>
      <c r="V85" s="91"/>
      <c r="W85" s="91"/>
      <c r="X85" s="91"/>
      <c r="Y85" s="91"/>
      <c r="Z85" s="19"/>
      <c r="AA85" s="24"/>
      <c r="AB85" s="24"/>
      <c r="AC85" s="24"/>
      <c r="AD85" s="83"/>
      <c r="AE85" s="111">
        <v>39.607100000000003</v>
      </c>
      <c r="AF85" s="112">
        <v>44.3399</v>
      </c>
      <c r="AG85" s="120">
        <v>44.275199999999998</v>
      </c>
      <c r="AI85" s="141"/>
      <c r="AJ85" s="141"/>
      <c r="AK85" s="141"/>
      <c r="AL85" s="141"/>
    </row>
    <row r="86" spans="1:38" ht="15" customHeight="1" x14ac:dyDescent="0.2">
      <c r="B86" s="36"/>
      <c r="C86" s="60">
        <v>37</v>
      </c>
      <c r="D86" s="24"/>
      <c r="E86" s="24"/>
      <c r="F86" s="24"/>
      <c r="G86" s="24"/>
      <c r="H86" s="101"/>
      <c r="I86" s="102"/>
      <c r="J86" s="86" t="e">
        <f t="shared" ca="1" si="2"/>
        <v>#NAME?</v>
      </c>
      <c r="K86" s="19"/>
      <c r="L86" s="111"/>
      <c r="M86" s="112"/>
      <c r="N86" s="112"/>
      <c r="O86" s="112"/>
      <c r="P86" s="112"/>
      <c r="Q86" s="120"/>
      <c r="R86" s="86" t="e">
        <f t="shared" ca="1" si="3"/>
        <v>#NAME?</v>
      </c>
      <c r="S86" s="83"/>
      <c r="T86" s="90"/>
      <c r="U86" s="91"/>
      <c r="V86" s="91"/>
      <c r="W86" s="91"/>
      <c r="X86" s="91"/>
      <c r="Y86" s="91"/>
      <c r="Z86" s="19"/>
      <c r="AA86" s="24"/>
      <c r="AB86" s="24"/>
      <c r="AC86" s="24"/>
      <c r="AD86" s="83"/>
      <c r="AE86" s="111">
        <v>36.091099999999997</v>
      </c>
      <c r="AF86" s="112">
        <v>41.151499999999999</v>
      </c>
      <c r="AG86" s="120">
        <v>41.241599999999998</v>
      </c>
      <c r="AI86" s="141"/>
      <c r="AJ86" s="141"/>
      <c r="AK86" s="141"/>
      <c r="AL86" s="141"/>
    </row>
    <row r="87" spans="1:38" ht="15" customHeight="1" x14ac:dyDescent="0.2">
      <c r="B87" s="37" t="s">
        <v>46</v>
      </c>
      <c r="C87" s="19">
        <v>22</v>
      </c>
      <c r="D87" s="31"/>
      <c r="E87" s="31"/>
      <c r="F87" s="31"/>
      <c r="G87" s="31"/>
      <c r="H87" s="105"/>
      <c r="I87" s="106"/>
      <c r="J87" s="85" t="e">
        <f t="shared" ca="1" si="2"/>
        <v>#NAME?</v>
      </c>
      <c r="K87" s="19"/>
      <c r="L87" s="115"/>
      <c r="M87" s="116"/>
      <c r="N87" s="116"/>
      <c r="O87" s="116"/>
      <c r="P87" s="116"/>
      <c r="Q87" s="125"/>
      <c r="R87" s="85" t="e">
        <f t="shared" ca="1" si="3"/>
        <v>#NAME?</v>
      </c>
      <c r="S87" s="83"/>
      <c r="T87" s="94" t="e">
        <f ca="1">bdrate(D87:D90,E87:E90,L87:L90,M87:M90)</f>
        <v>#NAME?</v>
      </c>
      <c r="U87" s="95" t="e">
        <f ca="1">bdrate(D87:D90,F87:F90,L87:L90,N87:N90)</f>
        <v>#NAME?</v>
      </c>
      <c r="V87" s="95" t="e">
        <f ca="1">bdrate(D87:D90,G87:G90,L87:L90,O87:O90)</f>
        <v>#NAME?</v>
      </c>
      <c r="W87" s="95" t="e">
        <f ca="1">bdrateOld(D87:D90,E87:E90,L87:L90,M87:M90)</f>
        <v>#NAME?</v>
      </c>
      <c r="X87" s="95" t="e">
        <f ca="1">bdrateOld(D87:D90,F87:F90,L87:L90,N87:N90)</f>
        <v>#NAME?</v>
      </c>
      <c r="Y87" s="95" t="e">
        <f ca="1">bdrateOld(D87:D90,G87:G90,L87:L90,O87:O90)</f>
        <v>#NAME?</v>
      </c>
      <c r="Z87" s="19"/>
      <c r="AA87" s="31"/>
      <c r="AB87" s="31"/>
      <c r="AC87" s="31"/>
      <c r="AD87" s="83"/>
      <c r="AE87" s="115">
        <v>45.919600000000003</v>
      </c>
      <c r="AF87" s="116">
        <v>50.895000000000003</v>
      </c>
      <c r="AG87" s="125">
        <v>51.900700000000001</v>
      </c>
      <c r="AI87" s="141"/>
      <c r="AJ87" s="141"/>
      <c r="AK87" s="141"/>
      <c r="AL87" s="141"/>
    </row>
    <row r="88" spans="1:38" ht="15" customHeight="1" x14ac:dyDescent="0.2">
      <c r="B88" s="36"/>
      <c r="C88" s="19">
        <v>27</v>
      </c>
      <c r="D88" s="24"/>
      <c r="E88" s="24"/>
      <c r="F88" s="24"/>
      <c r="G88" s="24"/>
      <c r="H88" s="101"/>
      <c r="I88" s="102"/>
      <c r="J88" s="85" t="e">
        <f t="shared" ca="1" si="2"/>
        <v>#NAME?</v>
      </c>
      <c r="K88" s="19"/>
      <c r="L88" s="111"/>
      <c r="M88" s="112"/>
      <c r="N88" s="112"/>
      <c r="O88" s="112"/>
      <c r="P88" s="112"/>
      <c r="Q88" s="120"/>
      <c r="R88" s="85" t="e">
        <f t="shared" ca="1" si="3"/>
        <v>#NAME?</v>
      </c>
      <c r="S88" s="83"/>
      <c r="T88" s="90"/>
      <c r="U88" s="91"/>
      <c r="V88" s="91"/>
      <c r="W88" s="91"/>
      <c r="X88" s="91"/>
      <c r="Y88" s="91"/>
      <c r="Z88" s="19"/>
      <c r="AA88" s="24"/>
      <c r="AB88" s="24"/>
      <c r="AC88" s="24"/>
      <c r="AD88" s="83"/>
      <c r="AE88" s="111">
        <v>42.491500000000002</v>
      </c>
      <c r="AF88" s="112">
        <v>48.282499999999999</v>
      </c>
      <c r="AG88" s="120">
        <v>49.073599999999999</v>
      </c>
      <c r="AI88" s="141"/>
      <c r="AJ88" s="141"/>
      <c r="AK88" s="141"/>
      <c r="AL88" s="141"/>
    </row>
    <row r="89" spans="1:38" ht="15" customHeight="1" x14ac:dyDescent="0.2">
      <c r="B89" s="36"/>
      <c r="C89" s="19">
        <v>32</v>
      </c>
      <c r="D89" s="24"/>
      <c r="E89" s="24"/>
      <c r="F89" s="24"/>
      <c r="G89" s="24"/>
      <c r="H89" s="101"/>
      <c r="I89" s="102"/>
      <c r="J89" s="85" t="e">
        <f t="shared" ca="1" si="2"/>
        <v>#NAME?</v>
      </c>
      <c r="K89" s="19"/>
      <c r="L89" s="111"/>
      <c r="M89" s="112"/>
      <c r="N89" s="112"/>
      <c r="O89" s="112"/>
      <c r="P89" s="112"/>
      <c r="Q89" s="120"/>
      <c r="R89" s="85" t="e">
        <f t="shared" ca="1" si="3"/>
        <v>#NAME?</v>
      </c>
      <c r="S89" s="83"/>
      <c r="T89" s="90"/>
      <c r="U89" s="91"/>
      <c r="V89" s="91"/>
      <c r="W89" s="91"/>
      <c r="X89" s="91"/>
      <c r="Y89" s="91"/>
      <c r="Z89" s="19"/>
      <c r="AA89" s="24"/>
      <c r="AB89" s="24"/>
      <c r="AC89" s="24"/>
      <c r="AD89" s="83"/>
      <c r="AE89" s="111">
        <v>39.140099999999997</v>
      </c>
      <c r="AF89" s="112">
        <v>45.5137</v>
      </c>
      <c r="AG89" s="120">
        <v>46.274500000000003</v>
      </c>
      <c r="AI89" s="141"/>
      <c r="AJ89" s="141"/>
      <c r="AK89" s="141"/>
      <c r="AL89" s="141"/>
    </row>
    <row r="90" spans="1:38" ht="15" customHeight="1" thickBot="1" x14ac:dyDescent="0.25">
      <c r="B90" s="42"/>
      <c r="C90" s="20">
        <v>37</v>
      </c>
      <c r="D90" s="33"/>
      <c r="E90" s="33"/>
      <c r="F90" s="33"/>
      <c r="G90" s="33"/>
      <c r="H90" s="107"/>
      <c r="I90" s="108"/>
      <c r="J90" s="87" t="e">
        <f t="shared" ca="1" si="2"/>
        <v>#NAME?</v>
      </c>
      <c r="K90" s="19"/>
      <c r="L90" s="117"/>
      <c r="M90" s="118"/>
      <c r="N90" s="118"/>
      <c r="O90" s="118"/>
      <c r="P90" s="118"/>
      <c r="Q90" s="124"/>
      <c r="R90" s="87" t="e">
        <f t="shared" ca="1" si="3"/>
        <v>#NAME?</v>
      </c>
      <c r="S90" s="83"/>
      <c r="T90" s="96"/>
      <c r="U90" s="97"/>
      <c r="V90" s="97"/>
      <c r="W90" s="97"/>
      <c r="X90" s="97"/>
      <c r="Y90" s="97"/>
      <c r="Z90" s="19"/>
      <c r="AA90" s="33"/>
      <c r="AB90" s="33"/>
      <c r="AC90" s="33"/>
      <c r="AD90" s="83"/>
      <c r="AE90" s="117">
        <v>35.915599999999998</v>
      </c>
      <c r="AF90" s="118">
        <v>42.5548</v>
      </c>
      <c r="AG90" s="124">
        <v>43.500900000000001</v>
      </c>
      <c r="AI90" s="141"/>
      <c r="AJ90" s="141"/>
      <c r="AK90" s="141"/>
      <c r="AL90" s="141"/>
    </row>
    <row r="91" spans="1:38" ht="15" customHeight="1" x14ac:dyDescent="0.25">
      <c r="A91" s="54" t="s">
        <v>29</v>
      </c>
      <c r="B91" s="34" t="s">
        <v>47</v>
      </c>
      <c r="C91" s="18">
        <v>22</v>
      </c>
      <c r="D91" s="43"/>
      <c r="E91" s="43"/>
      <c r="F91" s="43"/>
      <c r="G91" s="43"/>
      <c r="H91" s="99"/>
      <c r="I91" s="100"/>
      <c r="J91" s="85" t="e">
        <f t="shared" ca="1" si="2"/>
        <v>#NAME?</v>
      </c>
      <c r="K91" s="19"/>
      <c r="L91" s="111"/>
      <c r="M91" s="112"/>
      <c r="N91" s="112"/>
      <c r="O91" s="112"/>
      <c r="P91" s="112"/>
      <c r="Q91" s="120"/>
      <c r="R91" s="85" t="e">
        <f t="shared" ca="1" si="3"/>
        <v>#NAME?</v>
      </c>
      <c r="S91" s="83"/>
      <c r="T91" s="90" t="e">
        <f ca="1">bdrate(D91:D94,E91:E94,L91:L94,M91:M94)</f>
        <v>#NAME?</v>
      </c>
      <c r="U91" s="91" t="e">
        <f ca="1">bdrate(D91:D94,F91:F94,L91:L94,N91:N94)</f>
        <v>#NAME?</v>
      </c>
      <c r="V91" s="91" t="e">
        <f ca="1">bdrate(D91:D94,G91:G94,L91:L94,O91:O94)</f>
        <v>#NAME?</v>
      </c>
      <c r="W91" s="91" t="e">
        <f ca="1">bdrateOld(D91:D94,E91:E94,L91:L94,M91:M94)</f>
        <v>#NAME?</v>
      </c>
      <c r="X91" s="91" t="e">
        <f ca="1">bdrateOld(D91:D94,F91:F94,L91:L94,N91:N94)</f>
        <v>#NAME?</v>
      </c>
      <c r="Y91" s="91" t="e">
        <f ca="1">bdrateOld(D91:D94,G91:G94,L91:L94,O91:O94)</f>
        <v>#NAME?</v>
      </c>
      <c r="Z91" s="19"/>
      <c r="AA91" s="43"/>
      <c r="AB91" s="43"/>
      <c r="AC91" s="43"/>
      <c r="AD91" s="83"/>
      <c r="AE91" s="111">
        <v>47.1173</v>
      </c>
      <c r="AF91" s="112">
        <v>50.592700000000001</v>
      </c>
      <c r="AG91" s="120">
        <v>50.964399999999998</v>
      </c>
      <c r="AI91" s="141"/>
      <c r="AJ91" s="141"/>
      <c r="AK91" s="141"/>
      <c r="AL91" s="141"/>
    </row>
    <row r="92" spans="1:38" ht="15" customHeight="1" x14ac:dyDescent="0.2">
      <c r="B92" s="36"/>
      <c r="C92" s="19">
        <v>27</v>
      </c>
      <c r="D92" s="24"/>
      <c r="E92" s="24"/>
      <c r="F92" s="24"/>
      <c r="G92" s="24"/>
      <c r="H92" s="101"/>
      <c r="I92" s="102"/>
      <c r="J92" s="85" t="e">
        <f t="shared" ca="1" si="2"/>
        <v>#NAME?</v>
      </c>
      <c r="K92" s="19"/>
      <c r="L92" s="111"/>
      <c r="M92" s="112"/>
      <c r="N92" s="112"/>
      <c r="O92" s="112"/>
      <c r="P92" s="112"/>
      <c r="Q92" s="120"/>
      <c r="R92" s="85" t="e">
        <f t="shared" ca="1" si="3"/>
        <v>#NAME?</v>
      </c>
      <c r="S92" s="83"/>
      <c r="T92" s="90"/>
      <c r="U92" s="91"/>
      <c r="V92" s="91"/>
      <c r="W92" s="91"/>
      <c r="X92" s="91"/>
      <c r="Y92" s="91"/>
      <c r="Z92" s="19"/>
      <c r="AA92" s="24"/>
      <c r="AB92" s="24"/>
      <c r="AC92" s="24"/>
      <c r="AD92" s="83"/>
      <c r="AE92" s="111">
        <v>43.480600000000003</v>
      </c>
      <c r="AF92" s="112">
        <v>47.332799999999999</v>
      </c>
      <c r="AG92" s="120">
        <v>47.565899999999999</v>
      </c>
      <c r="AI92" s="141"/>
      <c r="AJ92" s="141"/>
      <c r="AK92" s="141"/>
      <c r="AL92" s="141"/>
    </row>
    <row r="93" spans="1:38" ht="15" customHeight="1" x14ac:dyDescent="0.2">
      <c r="B93" s="36"/>
      <c r="C93" s="19">
        <v>32</v>
      </c>
      <c r="D93" s="24"/>
      <c r="E93" s="24"/>
      <c r="F93" s="24"/>
      <c r="G93" s="24"/>
      <c r="H93" s="101"/>
      <c r="I93" s="102"/>
      <c r="J93" s="85" t="e">
        <f t="shared" ca="1" si="2"/>
        <v>#NAME?</v>
      </c>
      <c r="K93" s="19"/>
      <c r="L93" s="111"/>
      <c r="M93" s="112"/>
      <c r="N93" s="112"/>
      <c r="O93" s="112"/>
      <c r="P93" s="112"/>
      <c r="Q93" s="120"/>
      <c r="R93" s="85" t="e">
        <f t="shared" ca="1" si="3"/>
        <v>#NAME?</v>
      </c>
      <c r="S93" s="83"/>
      <c r="T93" s="90"/>
      <c r="U93" s="91"/>
      <c r="V93" s="91"/>
      <c r="W93" s="91"/>
      <c r="X93" s="91"/>
      <c r="Y93" s="91"/>
      <c r="Z93" s="19"/>
      <c r="AA93" s="24"/>
      <c r="AB93" s="24"/>
      <c r="AC93" s="24"/>
      <c r="AD93" s="83"/>
      <c r="AE93" s="111">
        <v>39.798400000000001</v>
      </c>
      <c r="AF93" s="112">
        <v>44.092799999999997</v>
      </c>
      <c r="AG93" s="120">
        <v>44.512799999999999</v>
      </c>
      <c r="AI93" s="141"/>
      <c r="AJ93" s="141"/>
      <c r="AK93" s="141"/>
      <c r="AL93" s="141"/>
    </row>
    <row r="94" spans="1:38" ht="15" customHeight="1" thickBot="1" x14ac:dyDescent="0.25">
      <c r="B94" s="36"/>
      <c r="C94" s="19">
        <v>37</v>
      </c>
      <c r="D94" s="25"/>
      <c r="E94" s="25"/>
      <c r="F94" s="25"/>
      <c r="G94" s="25"/>
      <c r="H94" s="103"/>
      <c r="I94" s="104"/>
      <c r="J94" s="87" t="e">
        <f t="shared" ca="1" si="2"/>
        <v>#NAME?</v>
      </c>
      <c r="K94" s="19"/>
      <c r="L94" s="111"/>
      <c r="M94" s="112"/>
      <c r="N94" s="112"/>
      <c r="O94" s="112"/>
      <c r="P94" s="112"/>
      <c r="Q94" s="120"/>
      <c r="R94" s="85" t="e">
        <f t="shared" ca="1" si="3"/>
        <v>#NAME?</v>
      </c>
      <c r="S94" s="83"/>
      <c r="T94" s="90"/>
      <c r="U94" s="91"/>
      <c r="V94" s="91"/>
      <c r="W94" s="91"/>
      <c r="X94" s="91"/>
      <c r="Y94" s="91"/>
      <c r="Z94" s="19"/>
      <c r="AA94" s="25"/>
      <c r="AB94" s="25"/>
      <c r="AC94" s="25"/>
      <c r="AD94" s="83"/>
      <c r="AE94" s="111">
        <v>35.977200000000003</v>
      </c>
      <c r="AF94" s="112">
        <v>40.6798</v>
      </c>
      <c r="AG94" s="120">
        <v>41.426400000000001</v>
      </c>
      <c r="AI94" s="141"/>
      <c r="AJ94" s="141"/>
      <c r="AK94" s="141"/>
      <c r="AL94" s="141"/>
    </row>
    <row r="95" spans="1:38" ht="15" customHeight="1" x14ac:dyDescent="0.25">
      <c r="A95" s="54" t="s">
        <v>30</v>
      </c>
      <c r="B95" s="34" t="s">
        <v>56</v>
      </c>
      <c r="C95" s="18">
        <v>22</v>
      </c>
      <c r="D95" s="43"/>
      <c r="E95" s="43"/>
      <c r="F95" s="43"/>
      <c r="G95" s="43"/>
      <c r="H95" s="99"/>
      <c r="I95" s="100"/>
      <c r="J95" s="85" t="e">
        <f t="shared" ca="1" si="2"/>
        <v>#NAME?</v>
      </c>
      <c r="K95" s="19"/>
      <c r="L95" s="109"/>
      <c r="M95" s="110"/>
      <c r="N95" s="110"/>
      <c r="O95" s="110"/>
      <c r="P95" s="110"/>
      <c r="Q95" s="119"/>
      <c r="R95" s="84" t="e">
        <f t="shared" ca="1" si="3"/>
        <v>#NAME?</v>
      </c>
      <c r="S95" s="83"/>
      <c r="T95" s="88" t="e">
        <f ca="1">bdrate(D95:D98,E95:E98,L95:L98,M95:M98)</f>
        <v>#NAME?</v>
      </c>
      <c r="U95" s="89" t="e">
        <f ca="1">bdrate(D95:D98,F95:F98,L95:L98,N95:N98)</f>
        <v>#NAME?</v>
      </c>
      <c r="V95" s="89" t="e">
        <f ca="1">bdrate(D95:D98,G95:G98,L95:L98,O95:O98)</f>
        <v>#NAME?</v>
      </c>
      <c r="W95" s="89" t="e">
        <f ca="1">bdrateOld(D95:D98,E95:E98,L95:L98,M95:M98)</f>
        <v>#NAME?</v>
      </c>
      <c r="X95" s="89" t="e">
        <f ca="1">bdrateOld(D95:D98,F95:F98,L95:L98,N95:N98)</f>
        <v>#NAME?</v>
      </c>
      <c r="Y95" s="89" t="e">
        <f ca="1">bdrateOld(D95:D98,G95:G98,L95:L98,O95:O98)</f>
        <v>#NAME?</v>
      </c>
      <c r="Z95" s="19"/>
      <c r="AA95" s="43"/>
      <c r="AB95" s="43"/>
      <c r="AC95" s="43"/>
      <c r="AD95" s="83"/>
      <c r="AE95" s="109">
        <v>40.943899999999999</v>
      </c>
      <c r="AF95" s="110">
        <v>44.952199999999998</v>
      </c>
      <c r="AG95" s="119">
        <v>44.258400000000002</v>
      </c>
      <c r="AI95" s="141"/>
      <c r="AJ95" s="141"/>
      <c r="AK95" s="141"/>
      <c r="AL95" s="141"/>
    </row>
    <row r="96" spans="1:38" ht="15" customHeight="1" x14ac:dyDescent="0.2">
      <c r="A96" s="52"/>
      <c r="B96" s="36"/>
      <c r="C96" s="19">
        <v>27</v>
      </c>
      <c r="D96" s="24"/>
      <c r="E96" s="24"/>
      <c r="F96" s="24"/>
      <c r="G96" s="24"/>
      <c r="H96" s="101"/>
      <c r="I96" s="102"/>
      <c r="J96" s="85" t="e">
        <f t="shared" ca="1" si="2"/>
        <v>#NAME?</v>
      </c>
      <c r="K96" s="19"/>
      <c r="L96" s="111"/>
      <c r="M96" s="112"/>
      <c r="N96" s="112"/>
      <c r="O96" s="112"/>
      <c r="P96" s="112"/>
      <c r="Q96" s="120"/>
      <c r="R96" s="85" t="e">
        <f t="shared" ca="1" si="3"/>
        <v>#NAME?</v>
      </c>
      <c r="S96" s="83"/>
      <c r="T96" s="90"/>
      <c r="U96" s="91"/>
      <c r="V96" s="91"/>
      <c r="W96" s="91"/>
      <c r="X96" s="91"/>
      <c r="Y96" s="91"/>
      <c r="Z96" s="19"/>
      <c r="AA96" s="24"/>
      <c r="AB96" s="24"/>
      <c r="AC96" s="24"/>
      <c r="AD96" s="83"/>
      <c r="AE96" s="111">
        <v>37.7166</v>
      </c>
      <c r="AF96" s="112">
        <v>42.509300000000003</v>
      </c>
      <c r="AG96" s="120">
        <v>41.8018</v>
      </c>
      <c r="AI96" s="141"/>
      <c r="AJ96" s="141"/>
      <c r="AK96" s="141"/>
      <c r="AL96" s="141"/>
    </row>
    <row r="97" spans="1:38" ht="15" customHeight="1" x14ac:dyDescent="0.2">
      <c r="A97" s="52"/>
      <c r="B97" s="36"/>
      <c r="C97" s="19">
        <v>32</v>
      </c>
      <c r="D97" s="24"/>
      <c r="E97" s="24"/>
      <c r="F97" s="24"/>
      <c r="G97" s="24"/>
      <c r="H97" s="101"/>
      <c r="I97" s="102"/>
      <c r="J97" s="85" t="e">
        <f t="shared" ca="1" si="2"/>
        <v>#NAME?</v>
      </c>
      <c r="K97" s="19"/>
      <c r="L97" s="111"/>
      <c r="M97" s="112"/>
      <c r="N97" s="112"/>
      <c r="O97" s="112"/>
      <c r="P97" s="112"/>
      <c r="Q97" s="120"/>
      <c r="R97" s="85" t="e">
        <f t="shared" ca="1" si="3"/>
        <v>#NAME?</v>
      </c>
      <c r="S97" s="83"/>
      <c r="T97" s="90"/>
      <c r="U97" s="91"/>
      <c r="V97" s="91"/>
      <c r="W97" s="91"/>
      <c r="X97" s="91"/>
      <c r="Y97" s="91"/>
      <c r="Z97" s="19"/>
      <c r="AA97" s="24"/>
      <c r="AB97" s="24"/>
      <c r="AC97" s="24"/>
      <c r="AD97" s="83"/>
      <c r="AE97" s="111">
        <v>35.126100000000001</v>
      </c>
      <c r="AF97" s="112">
        <v>40.544800000000002</v>
      </c>
      <c r="AG97" s="120">
        <v>39.912999999999997</v>
      </c>
      <c r="AI97" s="141"/>
      <c r="AJ97" s="141"/>
      <c r="AK97" s="141"/>
      <c r="AL97" s="141"/>
    </row>
    <row r="98" spans="1:38" ht="15" customHeight="1" thickBot="1" x14ac:dyDescent="0.25">
      <c r="A98" s="56"/>
      <c r="B98" s="42"/>
      <c r="C98" s="20">
        <v>37</v>
      </c>
      <c r="D98" s="33"/>
      <c r="E98" s="33"/>
      <c r="F98" s="33"/>
      <c r="G98" s="33"/>
      <c r="H98" s="107"/>
      <c r="I98" s="108"/>
      <c r="J98" s="87" t="e">
        <f t="shared" ca="1" si="2"/>
        <v>#NAME?</v>
      </c>
      <c r="K98" s="19"/>
      <c r="L98" s="117"/>
      <c r="M98" s="118"/>
      <c r="N98" s="118"/>
      <c r="O98" s="118"/>
      <c r="P98" s="118"/>
      <c r="Q98" s="124"/>
      <c r="R98" s="87" t="e">
        <f t="shared" ca="1" si="3"/>
        <v>#NAME?</v>
      </c>
      <c r="S98" s="83"/>
      <c r="T98" s="96"/>
      <c r="U98" s="97"/>
      <c r="V98" s="97"/>
      <c r="W98" s="97"/>
      <c r="X98" s="97"/>
      <c r="Y98" s="97"/>
      <c r="Z98" s="19"/>
      <c r="AA98" s="33"/>
      <c r="AB98" s="33"/>
      <c r="AC98" s="33"/>
      <c r="AD98" s="83"/>
      <c r="AE98" s="117">
        <v>32.947600000000001</v>
      </c>
      <c r="AF98" s="118">
        <v>38.852699999999999</v>
      </c>
      <c r="AG98" s="124">
        <v>38.430599999999998</v>
      </c>
      <c r="AI98" s="141"/>
      <c r="AJ98" s="141"/>
      <c r="AK98" s="141"/>
      <c r="AL98" s="141"/>
    </row>
    <row r="99" spans="1:38" ht="15" customHeight="1" x14ac:dyDescent="0.25">
      <c r="A99" s="54" t="s">
        <v>34</v>
      </c>
      <c r="B99" s="34" t="s">
        <v>32</v>
      </c>
      <c r="C99" s="18">
        <v>22</v>
      </c>
      <c r="D99" s="43"/>
      <c r="E99" s="43"/>
      <c r="F99" s="43"/>
      <c r="G99" s="43"/>
      <c r="H99" s="99"/>
      <c r="I99" s="100"/>
      <c r="J99" s="85" t="e">
        <f t="shared" ca="1" si="2"/>
        <v>#NAME?</v>
      </c>
      <c r="K99" s="19"/>
      <c r="L99" s="111"/>
      <c r="M99" s="112"/>
      <c r="N99" s="112"/>
      <c r="O99" s="112"/>
      <c r="P99" s="112"/>
      <c r="Q99" s="120"/>
      <c r="R99" s="85" t="e">
        <f t="shared" ca="1" si="3"/>
        <v>#NAME?</v>
      </c>
      <c r="S99" s="83"/>
      <c r="T99" s="90" t="e">
        <f ca="1">bdrate(D99:D102,E99:E102,L99:L102,M99:M102)</f>
        <v>#NAME?</v>
      </c>
      <c r="U99" s="91" t="e">
        <f ca="1">bdrate(D99:D102,F99:F102,L99:L102,N99:N102)</f>
        <v>#NAME?</v>
      </c>
      <c r="V99" s="91" t="e">
        <f ca="1">bdrate(D99:D102,G99:G102,L99:L102,O99:O102)</f>
        <v>#NAME?</v>
      </c>
      <c r="W99" s="91" t="e">
        <f ca="1">bdrateOld(D99:D102,E99:E102,L99:L102,M99:M102)</f>
        <v>#NAME?</v>
      </c>
      <c r="X99" s="91" t="e">
        <f ca="1">bdrateOld(D99:D102,F99:F102,L99:L102,N99:N102)</f>
        <v>#NAME?</v>
      </c>
      <c r="Y99" s="91" t="e">
        <f ca="1">bdrateOld(D99:D102,G99:G102,L99:L102,O99:O102)</f>
        <v>#NAME?</v>
      </c>
      <c r="Z99" s="19"/>
      <c r="AA99" s="43"/>
      <c r="AB99" s="43"/>
      <c r="AC99" s="43"/>
      <c r="AD99" s="83"/>
      <c r="AE99" s="111">
        <v>42.294400000000003</v>
      </c>
      <c r="AF99" s="112">
        <v>46.527799999999999</v>
      </c>
      <c r="AG99" s="120">
        <v>48.209899999999998</v>
      </c>
      <c r="AI99" s="141"/>
      <c r="AJ99" s="141"/>
      <c r="AK99" s="141"/>
      <c r="AL99" s="141"/>
    </row>
    <row r="100" spans="1:38" ht="15" customHeight="1" x14ac:dyDescent="0.2">
      <c r="B100" s="36"/>
      <c r="C100" s="19">
        <v>27</v>
      </c>
      <c r="D100" s="24"/>
      <c r="E100" s="24"/>
      <c r="F100" s="24"/>
      <c r="G100" s="24"/>
      <c r="H100" s="101"/>
      <c r="I100" s="102"/>
      <c r="J100" s="85" t="e">
        <f t="shared" ca="1" si="2"/>
        <v>#NAME?</v>
      </c>
      <c r="K100" s="19"/>
      <c r="L100" s="111"/>
      <c r="M100" s="112"/>
      <c r="N100" s="112"/>
      <c r="O100" s="112"/>
      <c r="P100" s="112"/>
      <c r="Q100" s="120"/>
      <c r="R100" s="85" t="e">
        <f t="shared" ca="1" si="3"/>
        <v>#NAME?</v>
      </c>
      <c r="S100" s="83"/>
      <c r="T100" s="90"/>
      <c r="U100" s="91"/>
      <c r="V100" s="91"/>
      <c r="W100" s="91"/>
      <c r="X100" s="91"/>
      <c r="Y100" s="91"/>
      <c r="Z100" s="19"/>
      <c r="AA100" s="24"/>
      <c r="AB100" s="24"/>
      <c r="AC100" s="24"/>
      <c r="AD100" s="83"/>
      <c r="AE100" s="111">
        <v>39.563099999999999</v>
      </c>
      <c r="AF100" s="112">
        <v>45.274700000000003</v>
      </c>
      <c r="AG100" s="120">
        <v>46.638800000000003</v>
      </c>
      <c r="AI100" s="141"/>
      <c r="AJ100" s="141"/>
      <c r="AK100" s="141"/>
      <c r="AL100" s="141"/>
    </row>
    <row r="101" spans="1:38" ht="15" customHeight="1" x14ac:dyDescent="0.2">
      <c r="B101" s="36"/>
      <c r="C101" s="19">
        <v>32</v>
      </c>
      <c r="D101" s="24"/>
      <c r="E101" s="24"/>
      <c r="F101" s="24"/>
      <c r="G101" s="24"/>
      <c r="H101" s="101"/>
      <c r="I101" s="102"/>
      <c r="J101" s="85" t="e">
        <f t="shared" ca="1" si="2"/>
        <v>#NAME?</v>
      </c>
      <c r="K101" s="19"/>
      <c r="L101" s="111"/>
      <c r="M101" s="112"/>
      <c r="N101" s="112"/>
      <c r="O101" s="112"/>
      <c r="P101" s="112"/>
      <c r="Q101" s="120"/>
      <c r="R101" s="85" t="e">
        <f t="shared" ca="1" si="3"/>
        <v>#NAME?</v>
      </c>
      <c r="S101" s="83"/>
      <c r="T101" s="90"/>
      <c r="U101" s="91"/>
      <c r="V101" s="91"/>
      <c r="W101" s="91"/>
      <c r="X101" s="91"/>
      <c r="Y101" s="91"/>
      <c r="Z101" s="19"/>
      <c r="AA101" s="24"/>
      <c r="AB101" s="24"/>
      <c r="AC101" s="24"/>
      <c r="AD101" s="83"/>
      <c r="AE101" s="111">
        <v>36.807200000000002</v>
      </c>
      <c r="AF101" s="112">
        <v>43.739100000000001</v>
      </c>
      <c r="AG101" s="120">
        <v>44.789099999999998</v>
      </c>
      <c r="AI101" s="141"/>
      <c r="AJ101" s="141"/>
      <c r="AK101" s="141"/>
      <c r="AL101" s="141"/>
    </row>
    <row r="102" spans="1:38" ht="15" customHeight="1" x14ac:dyDescent="0.2">
      <c r="B102" s="36"/>
      <c r="C102" s="60">
        <v>37</v>
      </c>
      <c r="D102" s="25"/>
      <c r="E102" s="25"/>
      <c r="F102" s="25"/>
      <c r="G102" s="25"/>
      <c r="H102" s="103"/>
      <c r="I102" s="104"/>
      <c r="J102" s="86" t="e">
        <f t="shared" ca="1" si="2"/>
        <v>#NAME?</v>
      </c>
      <c r="K102" s="19"/>
      <c r="L102" s="113"/>
      <c r="M102" s="114"/>
      <c r="N102" s="114"/>
      <c r="O102" s="114"/>
      <c r="P102" s="114"/>
      <c r="Q102" s="121"/>
      <c r="R102" s="86" t="e">
        <f t="shared" ca="1" si="3"/>
        <v>#NAME?</v>
      </c>
      <c r="S102" s="83"/>
      <c r="T102" s="92"/>
      <c r="U102" s="93"/>
      <c r="V102" s="93"/>
      <c r="W102" s="93"/>
      <c r="X102" s="93"/>
      <c r="Y102" s="93"/>
      <c r="Z102" s="19"/>
      <c r="AA102" s="25"/>
      <c r="AB102" s="25"/>
      <c r="AC102" s="25"/>
      <c r="AD102" s="83"/>
      <c r="AE102" s="113">
        <v>34.023400000000002</v>
      </c>
      <c r="AF102" s="114">
        <v>42.115200000000002</v>
      </c>
      <c r="AG102" s="121">
        <v>42.707599999999999</v>
      </c>
      <c r="AI102" s="141"/>
      <c r="AJ102" s="141"/>
      <c r="AK102" s="141"/>
      <c r="AL102" s="141"/>
    </row>
    <row r="103" spans="1:38" ht="15" customHeight="1" x14ac:dyDescent="0.2">
      <c r="B103" s="37" t="s">
        <v>33</v>
      </c>
      <c r="C103" s="19">
        <v>22</v>
      </c>
      <c r="D103" s="24"/>
      <c r="E103" s="24"/>
      <c r="F103" s="24"/>
      <c r="G103" s="24"/>
      <c r="H103" s="101"/>
      <c r="I103" s="102"/>
      <c r="J103" s="85" t="e">
        <f t="shared" ca="1" si="2"/>
        <v>#NAME?</v>
      </c>
      <c r="K103" s="19"/>
      <c r="L103" s="111"/>
      <c r="M103" s="112"/>
      <c r="N103" s="112"/>
      <c r="O103" s="112"/>
      <c r="P103" s="112"/>
      <c r="Q103" s="120"/>
      <c r="R103" s="85" t="e">
        <f t="shared" ca="1" si="3"/>
        <v>#NAME?</v>
      </c>
      <c r="S103" s="83"/>
      <c r="T103" s="90" t="e">
        <f ca="1">bdrate(D103:D106,E103:E106,L103:L106,M103:M106)</f>
        <v>#NAME?</v>
      </c>
      <c r="U103" s="91" t="e">
        <f ca="1">bdrate(D103:D106,F103:F106,L103:L106,N103:N106)</f>
        <v>#NAME?</v>
      </c>
      <c r="V103" s="91" t="e">
        <f ca="1">bdrate(D103:D106,G103:G106,L103:L106,O103:O106)</f>
        <v>#NAME?</v>
      </c>
      <c r="W103" s="91" t="e">
        <f ca="1">bdrateOld(D103:D106,E103:E106,L103:L106,M103:M106)</f>
        <v>#NAME?</v>
      </c>
      <c r="X103" s="91" t="e">
        <f ca="1">bdrateOld(D103:D106,F103:F106,L103:L106,N103:N106)</f>
        <v>#NAME?</v>
      </c>
      <c r="Y103" s="91" t="e">
        <f ca="1">bdrateOld(D103:D106,G103:G106,L103:L106,O103:O106)</f>
        <v>#NAME?</v>
      </c>
      <c r="Z103" s="19"/>
      <c r="AA103" s="24"/>
      <c r="AB103" s="24"/>
      <c r="AC103" s="24"/>
      <c r="AD103" s="83"/>
      <c r="AE103" s="111">
        <v>41.779200000000003</v>
      </c>
      <c r="AF103" s="112">
        <v>38.101300000000002</v>
      </c>
      <c r="AG103" s="120">
        <v>42.236199999999997</v>
      </c>
      <c r="AI103" s="141"/>
      <c r="AJ103" s="141"/>
      <c r="AK103" s="141"/>
      <c r="AL103" s="141"/>
    </row>
    <row r="104" spans="1:38" ht="15" customHeight="1" x14ac:dyDescent="0.2">
      <c r="B104" s="36"/>
      <c r="C104" s="19">
        <v>27</v>
      </c>
      <c r="D104" s="24"/>
      <c r="E104" s="24"/>
      <c r="F104" s="24"/>
      <c r="G104" s="24"/>
      <c r="H104" s="101"/>
      <c r="I104" s="102"/>
      <c r="J104" s="85" t="e">
        <f t="shared" ca="1" si="2"/>
        <v>#NAME?</v>
      </c>
      <c r="K104" s="19"/>
      <c r="L104" s="111"/>
      <c r="M104" s="112"/>
      <c r="N104" s="112"/>
      <c r="O104" s="112"/>
      <c r="P104" s="112"/>
      <c r="Q104" s="120"/>
      <c r="R104" s="85" t="e">
        <f t="shared" ca="1" si="3"/>
        <v>#NAME?</v>
      </c>
      <c r="S104" s="83"/>
      <c r="T104" s="90"/>
      <c r="U104" s="91"/>
      <c r="V104" s="91"/>
      <c r="W104" s="91"/>
      <c r="X104" s="91"/>
      <c r="Y104" s="91"/>
      <c r="Z104" s="19"/>
      <c r="AA104" s="24"/>
      <c r="AB104" s="24"/>
      <c r="AC104" s="24"/>
      <c r="AD104" s="83"/>
      <c r="AE104" s="111">
        <v>39.8279</v>
      </c>
      <c r="AF104" s="112">
        <v>37.417099999999998</v>
      </c>
      <c r="AG104" s="120">
        <v>41.416699999999999</v>
      </c>
      <c r="AI104" s="141"/>
      <c r="AJ104" s="141"/>
      <c r="AK104" s="141"/>
      <c r="AL104" s="141"/>
    </row>
    <row r="105" spans="1:38" ht="15" customHeight="1" x14ac:dyDescent="0.2">
      <c r="B105" s="36"/>
      <c r="C105" s="19">
        <v>32</v>
      </c>
      <c r="D105" s="24"/>
      <c r="E105" s="24"/>
      <c r="F105" s="24"/>
      <c r="G105" s="24"/>
      <c r="H105" s="101"/>
      <c r="I105" s="102"/>
      <c r="J105" s="85" t="e">
        <f t="shared" ca="1" si="2"/>
        <v>#NAME?</v>
      </c>
      <c r="K105" s="19"/>
      <c r="L105" s="111"/>
      <c r="M105" s="112"/>
      <c r="N105" s="112"/>
      <c r="O105" s="112"/>
      <c r="P105" s="112"/>
      <c r="Q105" s="120"/>
      <c r="R105" s="85" t="e">
        <f t="shared" ca="1" si="3"/>
        <v>#NAME?</v>
      </c>
      <c r="S105" s="83"/>
      <c r="T105" s="90"/>
      <c r="U105" s="91"/>
      <c r="V105" s="91"/>
      <c r="W105" s="91"/>
      <c r="X105" s="91"/>
      <c r="Y105" s="91"/>
      <c r="Z105" s="19"/>
      <c r="AA105" s="24"/>
      <c r="AB105" s="24"/>
      <c r="AC105" s="24"/>
      <c r="AD105" s="83"/>
      <c r="AE105" s="111">
        <v>37.355400000000003</v>
      </c>
      <c r="AF105" s="112">
        <v>37.005800000000001</v>
      </c>
      <c r="AG105" s="120">
        <v>40.505200000000002</v>
      </c>
      <c r="AI105" s="141"/>
      <c r="AJ105" s="141"/>
      <c r="AK105" s="141"/>
      <c r="AL105" s="141"/>
    </row>
    <row r="106" spans="1:38" ht="15" customHeight="1" thickBot="1" x14ac:dyDescent="0.25">
      <c r="A106" s="126"/>
      <c r="B106" s="42"/>
      <c r="C106" s="20">
        <v>37</v>
      </c>
      <c r="D106" s="33"/>
      <c r="E106" s="33"/>
      <c r="F106" s="33"/>
      <c r="G106" s="33"/>
      <c r="H106" s="107"/>
      <c r="I106" s="108"/>
      <c r="J106" s="85" t="e">
        <f t="shared" ca="1" si="2"/>
        <v>#NAME?</v>
      </c>
      <c r="K106" s="19"/>
      <c r="L106" s="117"/>
      <c r="M106" s="118"/>
      <c r="N106" s="118"/>
      <c r="O106" s="118"/>
      <c r="P106" s="118"/>
      <c r="Q106" s="124"/>
      <c r="R106" s="85" t="e">
        <f t="shared" ca="1" si="3"/>
        <v>#NAME?</v>
      </c>
      <c r="S106" s="83"/>
      <c r="T106" s="96"/>
      <c r="U106" s="97"/>
      <c r="V106" s="97"/>
      <c r="W106" s="97"/>
      <c r="X106" s="97"/>
      <c r="Y106" s="97"/>
      <c r="Z106" s="19"/>
      <c r="AA106" s="33"/>
      <c r="AB106" s="33"/>
      <c r="AC106" s="33"/>
      <c r="AD106" s="83"/>
      <c r="AE106" s="117">
        <v>34.872599999999998</v>
      </c>
      <c r="AF106" s="118">
        <v>36.516599999999997</v>
      </c>
      <c r="AG106" s="124">
        <v>39.582300000000004</v>
      </c>
      <c r="AI106" s="141"/>
      <c r="AJ106" s="141"/>
      <c r="AK106" s="141"/>
      <c r="AL106" s="141"/>
    </row>
    <row r="107" spans="1:38" ht="15" customHeight="1" x14ac:dyDescent="0.2">
      <c r="A107" s="57"/>
      <c r="B107" s="5" t="str">
        <f>Summary!B17</f>
        <v>RGB, text &amp; graphics with motion, 1080p &amp; 720p</v>
      </c>
      <c r="C107" s="5"/>
      <c r="D107" s="6"/>
      <c r="E107" s="6"/>
      <c r="F107" s="6"/>
      <c r="G107" s="6"/>
      <c r="H107" s="6"/>
      <c r="I107" s="74" t="e">
        <f ca="1">geometricMean(I3:I30)</f>
        <v>#NAME?</v>
      </c>
      <c r="J107" s="69" t="e">
        <f ca="1">geometricMean(J3:J30)</f>
        <v>#NAME?</v>
      </c>
      <c r="K107" s="6"/>
      <c r="L107" s="6"/>
      <c r="M107" s="6"/>
      <c r="N107" s="6"/>
      <c r="O107" s="6"/>
      <c r="P107" s="6"/>
      <c r="Q107" s="74" t="e">
        <f ca="1">geometricMean(Q3:Q30)</f>
        <v>#NAME?</v>
      </c>
      <c r="R107" s="69" t="e">
        <f ca="1">geometricMean(R3:R30)</f>
        <v>#NAME?</v>
      </c>
      <c r="S107" s="59"/>
      <c r="T107" s="90" t="e">
        <f t="shared" ref="T107:Y107" ca="1" si="4">AVERAGE(T3:T30)</f>
        <v>#NAME?</v>
      </c>
      <c r="U107" s="90" t="e">
        <f t="shared" ca="1" si="4"/>
        <v>#NAME?</v>
      </c>
      <c r="V107" s="90" t="e">
        <f t="shared" ca="1" si="4"/>
        <v>#NAME?</v>
      </c>
      <c r="W107" s="90" t="e">
        <f t="shared" ca="1" si="4"/>
        <v>#NAME?</v>
      </c>
      <c r="X107" s="90" t="e">
        <f t="shared" ca="1" si="4"/>
        <v>#NAME?</v>
      </c>
      <c r="Y107" s="90" t="e">
        <f t="shared" ca="1" si="4"/>
        <v>#NAME?</v>
      </c>
      <c r="Z107" s="6"/>
      <c r="AA107" s="6"/>
      <c r="AB107" s="6"/>
      <c r="AC107" s="6"/>
      <c r="AD107" s="59"/>
      <c r="AE107" s="6"/>
      <c r="AF107" s="6"/>
      <c r="AG107" s="6"/>
    </row>
    <row r="108" spans="1:38" ht="15" customHeight="1" x14ac:dyDescent="0.2">
      <c r="A108" s="57"/>
      <c r="B108" s="5" t="str">
        <f>Summary!B18</f>
        <v>RGB, mixed content, 1440p &amp; 1080p</v>
      </c>
      <c r="C108" s="5"/>
      <c r="D108" s="6"/>
      <c r="E108" s="6"/>
      <c r="F108" s="6"/>
      <c r="G108" s="6"/>
      <c r="H108" s="6"/>
      <c r="I108" s="75" t="e">
        <f ca="1">geometricMean(I31:I42)</f>
        <v>#NAME?</v>
      </c>
      <c r="J108" s="67" t="e">
        <f ca="1">geometricMean(J31:J42)</f>
        <v>#NAME?</v>
      </c>
      <c r="K108" s="6"/>
      <c r="L108" s="6"/>
      <c r="M108" s="6"/>
      <c r="N108" s="6"/>
      <c r="O108" s="6"/>
      <c r="P108" s="6"/>
      <c r="Q108" s="75" t="e">
        <f ca="1">geometricMean(Q31:Q42)</f>
        <v>#NAME?</v>
      </c>
      <c r="R108" s="67" t="e">
        <f ca="1">geometricMean(R31:R42)</f>
        <v>#NAME?</v>
      </c>
      <c r="T108" s="90" t="e">
        <f t="shared" ref="T108:Y108" ca="1" si="5">AVERAGE(T31:T42)</f>
        <v>#NAME?</v>
      </c>
      <c r="U108" s="90" t="e">
        <f t="shared" ca="1" si="5"/>
        <v>#NAME?</v>
      </c>
      <c r="V108" s="90" t="e">
        <f t="shared" ca="1" si="5"/>
        <v>#NAME?</v>
      </c>
      <c r="W108" s="90" t="e">
        <f t="shared" ca="1" si="5"/>
        <v>#NAME?</v>
      </c>
      <c r="X108" s="90" t="e">
        <f t="shared" ca="1" si="5"/>
        <v>#NAME?</v>
      </c>
      <c r="Y108" s="90" t="e">
        <f t="shared" ca="1" si="5"/>
        <v>#NAME?</v>
      </c>
      <c r="Z108" s="6"/>
      <c r="AA108" s="6"/>
      <c r="AB108" s="6"/>
      <c r="AC108" s="6"/>
      <c r="AE108" s="6"/>
      <c r="AF108" s="6"/>
      <c r="AG108" s="6"/>
    </row>
    <row r="109" spans="1:38" ht="15" customHeight="1" x14ac:dyDescent="0.2">
      <c r="A109" s="58"/>
      <c r="B109" s="5" t="str">
        <f>Summary!B19</f>
        <v>RGB, Animation, 720p</v>
      </c>
      <c r="C109" s="5"/>
      <c r="D109" s="6"/>
      <c r="E109" s="6"/>
      <c r="F109" s="6"/>
      <c r="G109" s="6"/>
      <c r="H109" s="6"/>
      <c r="I109" s="75" t="e">
        <f ca="1">geometricMean(I43:I46)</f>
        <v>#NAME?</v>
      </c>
      <c r="J109" s="67" t="e">
        <f ca="1">geometricMean(J43:J46)</f>
        <v>#NAME?</v>
      </c>
      <c r="K109" s="6"/>
      <c r="L109" s="6"/>
      <c r="M109" s="6"/>
      <c r="N109" s="6"/>
      <c r="O109" s="6"/>
      <c r="P109" s="6"/>
      <c r="Q109" s="75" t="e">
        <f ca="1">geometricMean(Q43:Q46)</f>
        <v>#NAME?</v>
      </c>
      <c r="R109" s="67" t="e">
        <f ca="1">geometricMean(R43:R46)</f>
        <v>#NAME?</v>
      </c>
      <c r="T109" s="90" t="e">
        <f t="shared" ref="T109:Y109" ca="1" si="6">AVERAGE(T43:T46)</f>
        <v>#NAME?</v>
      </c>
      <c r="U109" s="90" t="e">
        <f t="shared" ca="1" si="6"/>
        <v>#NAME?</v>
      </c>
      <c r="V109" s="90" t="e">
        <f t="shared" ca="1" si="6"/>
        <v>#NAME?</v>
      </c>
      <c r="W109" s="90" t="e">
        <f t="shared" ca="1" si="6"/>
        <v>#NAME?</v>
      </c>
      <c r="X109" s="90" t="e">
        <f t="shared" ca="1" si="6"/>
        <v>#NAME?</v>
      </c>
      <c r="Y109" s="90" t="e">
        <f t="shared" ca="1" si="6"/>
        <v>#NAME?</v>
      </c>
      <c r="Z109" s="6"/>
      <c r="AA109" s="6"/>
      <c r="AB109" s="6"/>
      <c r="AC109" s="6"/>
      <c r="AE109" s="6"/>
      <c r="AF109" s="6"/>
      <c r="AG109" s="6"/>
    </row>
    <row r="110" spans="1:38" ht="15" customHeight="1" x14ac:dyDescent="0.2">
      <c r="A110" s="58"/>
      <c r="B110" s="5" t="str">
        <f>Summary!B20</f>
        <v>RGB, camera captured, 1080p</v>
      </c>
      <c r="C110" s="5"/>
      <c r="D110" s="6"/>
      <c r="E110" s="6"/>
      <c r="F110" s="6"/>
      <c r="G110" s="6"/>
      <c r="H110" s="6"/>
      <c r="I110" s="75" t="e">
        <f ca="1">geometricMean(I47:I54)</f>
        <v>#NAME?</v>
      </c>
      <c r="J110" s="67" t="e">
        <f ca="1">geometricMean(J44:J47)</f>
        <v>#NAME?</v>
      </c>
      <c r="K110" s="6"/>
      <c r="L110" s="6"/>
      <c r="M110" s="6"/>
      <c r="N110" s="6"/>
      <c r="O110" s="6"/>
      <c r="P110" s="6"/>
      <c r="Q110" s="75" t="e">
        <f ca="1">geometricMean(Q47:Q54)</f>
        <v>#NAME?</v>
      </c>
      <c r="R110" s="67" t="e">
        <f ca="1">geometricMean(R44:R47)</f>
        <v>#NAME?</v>
      </c>
      <c r="T110" s="90" t="e">
        <f t="shared" ref="T110:Y110" ca="1" si="7">AVERAGE(T47:T54)</f>
        <v>#NAME?</v>
      </c>
      <c r="U110" s="90" t="e">
        <f t="shared" ca="1" si="7"/>
        <v>#NAME?</v>
      </c>
      <c r="V110" s="90" t="e">
        <f t="shared" ca="1" si="7"/>
        <v>#NAME?</v>
      </c>
      <c r="W110" s="90" t="e">
        <f t="shared" ca="1" si="7"/>
        <v>#NAME?</v>
      </c>
      <c r="X110" s="90" t="e">
        <f t="shared" ca="1" si="7"/>
        <v>#NAME?</v>
      </c>
      <c r="Y110" s="90" t="e">
        <f t="shared" ca="1" si="7"/>
        <v>#NAME?</v>
      </c>
      <c r="Z110" s="6"/>
      <c r="AA110" s="6"/>
      <c r="AB110" s="6"/>
      <c r="AC110" s="6"/>
      <c r="AE110" s="6"/>
      <c r="AF110" s="6"/>
      <c r="AG110" s="6"/>
    </row>
    <row r="111" spans="1:38" ht="15" customHeight="1" x14ac:dyDescent="0.2">
      <c r="A111" s="58"/>
      <c r="B111" s="5" t="str">
        <f>Summary!B21</f>
        <v>YUV, text &amp; graphics with motion, 1080p &amp; 720p</v>
      </c>
      <c r="C111" s="5"/>
      <c r="D111" s="6"/>
      <c r="E111" s="6"/>
      <c r="F111" s="6"/>
      <c r="G111" s="6"/>
      <c r="H111" s="6"/>
      <c r="I111" s="75" t="e">
        <f ca="1">geometricMean(I55:I82)</f>
        <v>#NAME?</v>
      </c>
      <c r="J111" s="67" t="e">
        <f ca="1">geometricMean(J55:J82)</f>
        <v>#NAME?</v>
      </c>
      <c r="K111" s="6"/>
      <c r="L111" s="6"/>
      <c r="M111" s="6"/>
      <c r="N111" s="6"/>
      <c r="O111" s="6"/>
      <c r="P111" s="6"/>
      <c r="Q111" s="75" t="e">
        <f ca="1">geometricMean(Q55:Q82)</f>
        <v>#NAME?</v>
      </c>
      <c r="R111" s="67" t="e">
        <f ca="1">geometricMean(R55:R82)</f>
        <v>#NAME?</v>
      </c>
      <c r="T111" s="90" t="e">
        <f t="shared" ref="T111:Y111" ca="1" si="8">AVERAGE(T55:T82)</f>
        <v>#NAME?</v>
      </c>
      <c r="U111" s="90" t="e">
        <f t="shared" ca="1" si="8"/>
        <v>#NAME?</v>
      </c>
      <c r="V111" s="90" t="e">
        <f t="shared" ca="1" si="8"/>
        <v>#NAME?</v>
      </c>
      <c r="W111" s="90" t="e">
        <f t="shared" ca="1" si="8"/>
        <v>#NAME?</v>
      </c>
      <c r="X111" s="90" t="e">
        <f t="shared" ca="1" si="8"/>
        <v>#NAME?</v>
      </c>
      <c r="Y111" s="90" t="e">
        <f t="shared" ca="1" si="8"/>
        <v>#NAME?</v>
      </c>
      <c r="Z111" s="6"/>
      <c r="AA111" s="6"/>
      <c r="AB111" s="6"/>
      <c r="AC111" s="6"/>
      <c r="AE111" s="6"/>
      <c r="AF111" s="6"/>
      <c r="AG111" s="6"/>
    </row>
    <row r="112" spans="1:38" ht="15" customHeight="1" x14ac:dyDescent="0.2">
      <c r="A112" s="58"/>
      <c r="B112" s="5" t="str">
        <f>Summary!B22</f>
        <v>YUV, mixed content, 1440p &amp; 1080p</v>
      </c>
      <c r="C112" s="5"/>
      <c r="D112" s="6"/>
      <c r="E112" s="6"/>
      <c r="F112" s="6"/>
      <c r="G112" s="6"/>
      <c r="H112" s="6"/>
      <c r="I112" s="75" t="e">
        <f ca="1">geometricMean(I83:I94)</f>
        <v>#NAME?</v>
      </c>
      <c r="J112" s="67" t="e">
        <f ca="1">geometricMean(J83:J94)</f>
        <v>#NAME?</v>
      </c>
      <c r="K112" s="6"/>
      <c r="L112" s="6"/>
      <c r="M112" s="6"/>
      <c r="N112" s="6"/>
      <c r="O112" s="6"/>
      <c r="P112" s="6"/>
      <c r="Q112" s="75" t="e">
        <f ca="1">geometricMean(Q83:Q94)</f>
        <v>#NAME?</v>
      </c>
      <c r="R112" s="67" t="e">
        <f ca="1">geometricMean(R83:R94)</f>
        <v>#NAME?</v>
      </c>
      <c r="T112" s="90" t="e">
        <f t="shared" ref="T112:Y112" ca="1" si="9">AVERAGE(T83:T94)</f>
        <v>#NAME?</v>
      </c>
      <c r="U112" s="90" t="e">
        <f t="shared" ca="1" si="9"/>
        <v>#NAME?</v>
      </c>
      <c r="V112" s="90" t="e">
        <f t="shared" ca="1" si="9"/>
        <v>#NAME?</v>
      </c>
      <c r="W112" s="90" t="e">
        <f t="shared" ca="1" si="9"/>
        <v>#NAME?</v>
      </c>
      <c r="X112" s="90" t="e">
        <f t="shared" ca="1" si="9"/>
        <v>#NAME?</v>
      </c>
      <c r="Y112" s="90" t="e">
        <f t="shared" ca="1" si="9"/>
        <v>#NAME?</v>
      </c>
      <c r="Z112" s="6"/>
      <c r="AA112" s="6"/>
      <c r="AB112" s="6"/>
      <c r="AC112" s="6"/>
      <c r="AE112" s="6"/>
      <c r="AF112" s="6"/>
      <c r="AG112" s="6"/>
    </row>
    <row r="113" spans="1:33" ht="15" customHeight="1" x14ac:dyDescent="0.2">
      <c r="A113" s="58"/>
      <c r="B113" s="5" t="str">
        <f>Summary!B23</f>
        <v>YUV, Animation, 720p</v>
      </c>
      <c r="C113" s="5"/>
      <c r="D113" s="6"/>
      <c r="E113" s="6"/>
      <c r="F113" s="6"/>
      <c r="G113" s="6"/>
      <c r="H113" s="6"/>
      <c r="I113" s="75" t="e">
        <f ca="1">geometricMean(I95:I98)</f>
        <v>#NAME?</v>
      </c>
      <c r="J113" s="67" t="e">
        <f ca="1">geometricMean(J95:J98)</f>
        <v>#NAME?</v>
      </c>
      <c r="K113" s="6"/>
      <c r="L113" s="6"/>
      <c r="M113" s="6"/>
      <c r="N113" s="6"/>
      <c r="O113" s="6"/>
      <c r="P113" s="6"/>
      <c r="Q113" s="75" t="e">
        <f ca="1">geometricMean(Q95:Q98)</f>
        <v>#NAME?</v>
      </c>
      <c r="R113" s="67" t="e">
        <f ca="1">geometricMean(R95:R98)</f>
        <v>#NAME?</v>
      </c>
      <c r="S113" s="6"/>
      <c r="T113" s="90" t="e">
        <f t="shared" ref="T113:Y113" ca="1" si="10">AVERAGE(T95:T98)</f>
        <v>#NAME?</v>
      </c>
      <c r="U113" s="90" t="e">
        <f t="shared" ca="1" si="10"/>
        <v>#NAME?</v>
      </c>
      <c r="V113" s="90" t="e">
        <f t="shared" ca="1" si="10"/>
        <v>#NAME?</v>
      </c>
      <c r="W113" s="90" t="e">
        <f t="shared" ca="1" si="10"/>
        <v>#NAME?</v>
      </c>
      <c r="X113" s="90" t="e">
        <f t="shared" ca="1" si="10"/>
        <v>#NAME?</v>
      </c>
      <c r="Y113" s="90" t="e">
        <f t="shared" ca="1" si="10"/>
        <v>#NAME?</v>
      </c>
      <c r="Z113" s="6"/>
      <c r="AA113" s="6"/>
      <c r="AB113" s="6"/>
      <c r="AC113" s="6"/>
      <c r="AD113" s="6"/>
      <c r="AE113" s="6"/>
      <c r="AF113" s="6"/>
      <c r="AG113" s="6"/>
    </row>
    <row r="114" spans="1:33" s="6" customFormat="1" ht="15" customHeight="1" thickBot="1" x14ac:dyDescent="0.25">
      <c r="A114" s="58"/>
      <c r="B114" s="5" t="str">
        <f>Summary!B24</f>
        <v>YUV, camera captured, 1080p</v>
      </c>
      <c r="C114" s="8"/>
      <c r="D114" s="9"/>
      <c r="E114" s="9"/>
      <c r="F114" s="9"/>
      <c r="G114" s="9"/>
      <c r="H114" s="9"/>
      <c r="I114" s="76" t="e">
        <f ca="1">geometricMean(I99:I106)</f>
        <v>#NAME?</v>
      </c>
      <c r="J114" s="68" t="e">
        <f ca="1">geometricMean(J96:J99)</f>
        <v>#NAME?</v>
      </c>
      <c r="K114" s="9"/>
      <c r="L114" s="9"/>
      <c r="M114" s="9"/>
      <c r="N114" s="9"/>
      <c r="O114" s="9"/>
      <c r="P114" s="9"/>
      <c r="Q114" s="76" t="e">
        <f ca="1">geometricMean(Q99:Q106)</f>
        <v>#NAME?</v>
      </c>
      <c r="R114" s="68" t="e">
        <f ca="1">geometricMean(R96:R99)</f>
        <v>#NAME?</v>
      </c>
      <c r="S114" s="21"/>
      <c r="T114" s="90" t="e">
        <f t="shared" ref="T114:Y114" ca="1" si="11">AVERAGE(T99:T106)</f>
        <v>#NAME?</v>
      </c>
      <c r="U114" s="90" t="e">
        <f t="shared" ca="1" si="11"/>
        <v>#NAME?</v>
      </c>
      <c r="V114" s="90" t="e">
        <f t="shared" ca="1" si="11"/>
        <v>#NAME?</v>
      </c>
      <c r="W114" s="90" t="e">
        <f t="shared" ca="1" si="11"/>
        <v>#NAME?</v>
      </c>
      <c r="X114" s="90" t="e">
        <f t="shared" ca="1" si="11"/>
        <v>#NAME?</v>
      </c>
      <c r="Y114" s="90" t="e">
        <f t="shared" ca="1" si="11"/>
        <v>#NAME?</v>
      </c>
    </row>
    <row r="115" spans="1:33" ht="15" customHeight="1" thickBot="1" x14ac:dyDescent="0.25">
      <c r="A115" s="57"/>
      <c r="B115" s="15" t="s">
        <v>1</v>
      </c>
      <c r="C115" s="5"/>
      <c r="D115" s="6"/>
      <c r="E115" s="6"/>
      <c r="F115" s="6"/>
      <c r="G115" s="6"/>
      <c r="H115" s="6"/>
      <c r="I115" s="6"/>
      <c r="J115" s="19"/>
      <c r="K115" s="6"/>
      <c r="L115" s="6"/>
      <c r="M115" s="6"/>
      <c r="N115" s="6"/>
      <c r="O115" s="6"/>
      <c r="P115" s="6"/>
      <c r="Q115" s="6"/>
      <c r="R115" s="19"/>
      <c r="T115" s="96" t="e">
        <f t="shared" ref="T115:Y115" ca="1" si="12">AVERAGE(T3:T106)</f>
        <v>#NAME?</v>
      </c>
      <c r="U115" s="96" t="e">
        <f t="shared" ca="1" si="12"/>
        <v>#NAME?</v>
      </c>
      <c r="V115" s="96" t="e">
        <f t="shared" ca="1" si="12"/>
        <v>#NAME?</v>
      </c>
      <c r="W115" s="96" t="e">
        <f t="shared" ca="1" si="12"/>
        <v>#NAME?</v>
      </c>
      <c r="X115" s="96" t="e">
        <f t="shared" ca="1" si="12"/>
        <v>#NAME?</v>
      </c>
      <c r="Y115" s="96" t="e">
        <f t="shared" ca="1" si="12"/>
        <v>#NAME?</v>
      </c>
      <c r="Z115" s="6"/>
      <c r="AA115" s="6"/>
      <c r="AB115" s="6"/>
      <c r="AC115" s="6"/>
      <c r="AD115" s="6"/>
      <c r="AE115" s="6"/>
      <c r="AF115" s="6"/>
      <c r="AG115" s="6"/>
    </row>
    <row r="116" spans="1:33" ht="15" customHeight="1" x14ac:dyDescent="0.2">
      <c r="A116" s="57"/>
      <c r="B116" s="19" t="s">
        <v>2</v>
      </c>
      <c r="C116" s="16"/>
      <c r="D116" s="27"/>
      <c r="E116" s="27"/>
      <c r="F116" s="27"/>
      <c r="G116" s="27"/>
      <c r="H116" s="27"/>
      <c r="I116" s="74" t="e">
        <f ca="1">geometricMean(I3:I106)</f>
        <v>#NAME?</v>
      </c>
      <c r="J116" s="69" t="e">
        <f ca="1">geometricMean(J3:J106)</f>
        <v>#NAME?</v>
      </c>
      <c r="K116" s="27"/>
      <c r="L116" s="27"/>
      <c r="M116" s="27"/>
      <c r="N116" s="27"/>
      <c r="O116" s="27"/>
      <c r="P116" s="27"/>
      <c r="Q116" s="74" t="e">
        <f ca="1">geometricMean(Q3:Q106)</f>
        <v>#NAME?</v>
      </c>
      <c r="R116" s="69" t="e">
        <f ca="1">geometricMean(R3:R106)</f>
        <v>#NAME?</v>
      </c>
      <c r="Z116" s="6"/>
      <c r="AA116" s="6"/>
      <c r="AB116" s="6"/>
      <c r="AC116" s="6"/>
      <c r="AD116" s="6"/>
      <c r="AE116" s="6"/>
      <c r="AF116" s="6"/>
      <c r="AG116" s="6"/>
    </row>
    <row r="117" spans="1:33" ht="15" customHeight="1" thickBot="1" x14ac:dyDescent="0.25">
      <c r="A117" s="57"/>
      <c r="B117" s="20" t="s">
        <v>3</v>
      </c>
      <c r="C117" s="8"/>
      <c r="D117" s="9"/>
      <c r="E117" s="9"/>
      <c r="F117" s="9"/>
      <c r="G117" s="9"/>
      <c r="H117" s="9"/>
      <c r="I117" s="76" t="e">
        <f ca="1">secToHours(macroSum(I3:I106))</f>
        <v>#NAME?</v>
      </c>
      <c r="J117" s="68" t="e">
        <f ca="1">SUM(J3:J106)</f>
        <v>#NAME?</v>
      </c>
      <c r="K117" s="9"/>
      <c r="L117" s="9"/>
      <c r="M117" s="9"/>
      <c r="N117" s="9"/>
      <c r="O117" s="9"/>
      <c r="P117" s="9"/>
      <c r="Q117" s="76" t="e">
        <f ca="1">secToHours(macroSum(Q3:Q106))</f>
        <v>#NAME?</v>
      </c>
      <c r="R117" s="68" t="e">
        <f ca="1">SUM(R3:R106)</f>
        <v>#NAME?</v>
      </c>
      <c r="Z117" s="6"/>
      <c r="AA117" s="6"/>
      <c r="AB117" s="6"/>
      <c r="AC117" s="6"/>
      <c r="AD117" s="6"/>
      <c r="AE117" s="6"/>
      <c r="AF117" s="6"/>
      <c r="AG117" s="6"/>
    </row>
    <row r="118" spans="1:33" ht="15" customHeight="1" x14ac:dyDescent="0.2">
      <c r="A118" s="52"/>
    </row>
    <row r="119" spans="1:33" ht="15" customHeight="1" x14ac:dyDescent="0.2">
      <c r="A119" s="52"/>
    </row>
    <row r="120" spans="1:33" ht="15" customHeight="1" x14ac:dyDescent="0.2">
      <c r="A120" s="52"/>
      <c r="C120" s="155" t="s">
        <v>15</v>
      </c>
      <c r="D120" s="156"/>
      <c r="I120" s="21"/>
    </row>
    <row r="121" spans="1:33" ht="15" customHeight="1" thickBot="1" x14ac:dyDescent="0.25">
      <c r="A121" s="52"/>
      <c r="C121" s="127" t="s">
        <v>16</v>
      </c>
      <c r="D121" s="128" t="s">
        <v>17</v>
      </c>
    </row>
    <row r="122" spans="1:33" ht="15" customHeight="1" x14ac:dyDescent="0.2">
      <c r="A122" s="52"/>
      <c r="B122" s="69" t="str">
        <f>Summary!B17</f>
        <v>RGB, text &amp; graphics with motion, 1080p &amp; 720p</v>
      </c>
      <c r="C122" s="70" t="e">
        <f t="shared" ref="C122:D129" ca="1" si="13">Q107/I107</f>
        <v>#NAME?</v>
      </c>
      <c r="D122" s="70" t="e">
        <f t="shared" ca="1" si="13"/>
        <v>#NAME?</v>
      </c>
    </row>
    <row r="123" spans="1:33" ht="15" customHeight="1" x14ac:dyDescent="0.2">
      <c r="A123" s="52"/>
      <c r="B123" s="67" t="str">
        <f>Summary!B18</f>
        <v>RGB, mixed content, 1440p &amp; 1080p</v>
      </c>
      <c r="C123" s="65" t="e">
        <f t="shared" ca="1" si="13"/>
        <v>#NAME?</v>
      </c>
      <c r="D123" s="65" t="e">
        <f t="shared" ca="1" si="13"/>
        <v>#NAME?</v>
      </c>
    </row>
    <row r="124" spans="1:33" ht="15" customHeight="1" x14ac:dyDescent="0.2">
      <c r="A124" s="52"/>
      <c r="B124" s="67" t="str">
        <f>Summary!B19</f>
        <v>RGB, Animation, 720p</v>
      </c>
      <c r="C124" s="65" t="e">
        <f t="shared" ca="1" si="13"/>
        <v>#NAME?</v>
      </c>
      <c r="D124" s="65" t="e">
        <f t="shared" ca="1" si="13"/>
        <v>#NAME?</v>
      </c>
    </row>
    <row r="125" spans="1:33" ht="15" customHeight="1" x14ac:dyDescent="0.2">
      <c r="A125" s="52"/>
      <c r="B125" s="67" t="str">
        <f>Summary!B20</f>
        <v>RGB, camera captured, 1080p</v>
      </c>
      <c r="C125" s="65" t="e">
        <f t="shared" ca="1" si="13"/>
        <v>#NAME?</v>
      </c>
      <c r="D125" s="65" t="e">
        <f t="shared" ca="1" si="13"/>
        <v>#NAME?</v>
      </c>
    </row>
    <row r="126" spans="1:33" ht="15" customHeight="1" x14ac:dyDescent="0.2">
      <c r="A126" s="52"/>
      <c r="B126" s="67" t="str">
        <f>Summary!B21</f>
        <v>YUV, text &amp; graphics with motion, 1080p &amp; 720p</v>
      </c>
      <c r="C126" s="65" t="e">
        <f t="shared" ca="1" si="13"/>
        <v>#NAME?</v>
      </c>
      <c r="D126" s="65" t="e">
        <f t="shared" ca="1" si="13"/>
        <v>#NAME?</v>
      </c>
    </row>
    <row r="127" spans="1:33" ht="15" customHeight="1" x14ac:dyDescent="0.2">
      <c r="A127" s="52"/>
      <c r="B127" s="67" t="str">
        <f>Summary!B22</f>
        <v>YUV, mixed content, 1440p &amp; 1080p</v>
      </c>
      <c r="C127" s="65" t="e">
        <f t="shared" ca="1" si="13"/>
        <v>#NAME?</v>
      </c>
      <c r="D127" s="65" t="e">
        <f t="shared" ca="1" si="13"/>
        <v>#NAME?</v>
      </c>
    </row>
    <row r="128" spans="1:33" ht="15" customHeight="1" x14ac:dyDescent="0.2">
      <c r="A128" s="52"/>
      <c r="B128" s="67" t="str">
        <f>Summary!B23</f>
        <v>YUV, Animation, 720p</v>
      </c>
      <c r="C128" s="65" t="e">
        <f t="shared" ca="1" si="13"/>
        <v>#NAME?</v>
      </c>
      <c r="D128" s="65" t="e">
        <f t="shared" ca="1" si="13"/>
        <v>#NAME?</v>
      </c>
    </row>
    <row r="129" spans="1:25" ht="15" customHeight="1" x14ac:dyDescent="0.2">
      <c r="A129" s="52"/>
      <c r="B129" s="67" t="str">
        <f>Summary!B24</f>
        <v>YUV, camera captured, 1080p</v>
      </c>
      <c r="C129" s="65" t="e">
        <f t="shared" ca="1" si="13"/>
        <v>#NAME?</v>
      </c>
      <c r="D129" s="65" t="e">
        <f t="shared" ca="1" si="13"/>
        <v>#NAME?</v>
      </c>
    </row>
    <row r="130" spans="1:25" ht="15" customHeight="1" thickBot="1" x14ac:dyDescent="0.25">
      <c r="A130" s="52"/>
      <c r="B130" s="68" t="s">
        <v>1</v>
      </c>
      <c r="C130" s="66" t="e">
        <f ca="1">Q116/I116</f>
        <v>#NAME?</v>
      </c>
      <c r="D130" s="66" t="e">
        <f ca="1">R116/J116</f>
        <v>#NAME?</v>
      </c>
    </row>
    <row r="131" spans="1:25" x14ac:dyDescent="0.2">
      <c r="A131" s="52"/>
    </row>
    <row r="132" spans="1:25" x14ac:dyDescent="0.2">
      <c r="A132" s="52"/>
      <c r="B132" s="6"/>
      <c r="I132" s="21"/>
    </row>
    <row r="133" spans="1:25" x14ac:dyDescent="0.2">
      <c r="A133" s="53"/>
      <c r="B133" s="6"/>
      <c r="H133" s="4"/>
      <c r="I133" s="21"/>
    </row>
    <row r="134" spans="1:25" ht="12" x14ac:dyDescent="0.2">
      <c r="A134" s="21"/>
      <c r="H134" s="4"/>
      <c r="I134" s="21"/>
    </row>
    <row r="139" spans="1:25" ht="12" x14ac:dyDescent="0.2">
      <c r="A139" s="21"/>
      <c r="I139" s="21"/>
      <c r="T139" s="6"/>
      <c r="U139" s="6"/>
      <c r="V139" s="6"/>
      <c r="W139" s="6"/>
      <c r="X139" s="6"/>
      <c r="Y139" s="6"/>
    </row>
    <row r="140" spans="1:25" ht="12" x14ac:dyDescent="0.2">
      <c r="A140" s="21"/>
      <c r="I140" s="21"/>
      <c r="T140" s="6"/>
      <c r="U140" s="6"/>
      <c r="V140" s="6"/>
      <c r="W140" s="6"/>
      <c r="X140" s="6"/>
      <c r="Y140" s="6"/>
    </row>
    <row r="141" spans="1:25" ht="12" x14ac:dyDescent="0.2">
      <c r="A141" s="21"/>
      <c r="I141" s="21"/>
      <c r="T141" s="11"/>
      <c r="U141" s="11"/>
      <c r="V141" s="11"/>
      <c r="W141" s="11"/>
      <c r="X141" s="11"/>
      <c r="Y141" s="11"/>
    </row>
    <row r="142" spans="1:25" ht="12" x14ac:dyDescent="0.2">
      <c r="A142" s="21"/>
      <c r="I142" s="21"/>
      <c r="T142" s="6"/>
      <c r="U142" s="6"/>
      <c r="V142" s="6"/>
      <c r="W142" s="6"/>
    </row>
    <row r="143" spans="1:25" ht="12" x14ac:dyDescent="0.2">
      <c r="A143" s="21"/>
      <c r="I143" s="21"/>
      <c r="T143" s="6"/>
      <c r="U143" s="6"/>
      <c r="V143" s="6"/>
      <c r="W143" s="6"/>
    </row>
    <row r="144" spans="1:25" ht="12" x14ac:dyDescent="0.2">
      <c r="A144" s="21"/>
      <c r="I144" s="21"/>
      <c r="T144" s="11"/>
      <c r="U144" s="11"/>
      <c r="V144" s="11"/>
      <c r="W144" s="11"/>
    </row>
    <row r="145" spans="1:25" ht="12" x14ac:dyDescent="0.2">
      <c r="A145" s="21"/>
      <c r="I145" s="21"/>
      <c r="T145" s="11"/>
      <c r="U145" s="11"/>
      <c r="V145" s="11"/>
      <c r="W145" s="11"/>
    </row>
    <row r="146" spans="1:25" ht="12" x14ac:dyDescent="0.2">
      <c r="A146" s="21"/>
      <c r="I146" s="21"/>
      <c r="T146" s="6"/>
      <c r="U146" s="6"/>
      <c r="V146" s="6"/>
      <c r="W146" s="6"/>
    </row>
    <row r="147" spans="1:25" ht="12" x14ac:dyDescent="0.2">
      <c r="A147" s="21"/>
      <c r="I147" s="21"/>
      <c r="T147" s="6"/>
      <c r="U147" s="6"/>
      <c r="V147" s="6"/>
      <c r="W147" s="6"/>
    </row>
    <row r="148" spans="1:25" ht="12" x14ac:dyDescent="0.2">
      <c r="A148" s="21"/>
      <c r="I148" s="21"/>
      <c r="T148" s="6"/>
      <c r="U148" s="6"/>
      <c r="V148" s="6"/>
      <c r="W148" s="6"/>
    </row>
    <row r="149" spans="1:25" ht="12" x14ac:dyDescent="0.2">
      <c r="A149" s="21"/>
      <c r="I149" s="21"/>
      <c r="T149" s="6"/>
      <c r="U149" s="6"/>
      <c r="V149" s="6"/>
      <c r="W149" s="6"/>
      <c r="X149" s="6"/>
      <c r="Y149" s="6"/>
    </row>
    <row r="150" spans="1:25" ht="12" x14ac:dyDescent="0.2">
      <c r="A150" s="21"/>
      <c r="I150" s="21"/>
      <c r="T150" s="6"/>
      <c r="U150" s="6"/>
      <c r="V150" s="6"/>
      <c r="W150" s="6"/>
      <c r="X150" s="6"/>
      <c r="Y150" s="6"/>
    </row>
    <row r="151" spans="1:25" ht="12" x14ac:dyDescent="0.2">
      <c r="A151" s="21"/>
      <c r="I151" s="21"/>
      <c r="T151" s="6"/>
      <c r="U151" s="6"/>
      <c r="V151" s="6"/>
      <c r="W151" s="6"/>
      <c r="X151" s="6"/>
      <c r="Y151" s="6"/>
    </row>
    <row r="152" spans="1:25" ht="12" x14ac:dyDescent="0.2">
      <c r="A152" s="21"/>
      <c r="I152" s="21"/>
      <c r="T152" s="11"/>
      <c r="U152" s="11"/>
      <c r="V152" s="11"/>
      <c r="W152" s="11"/>
      <c r="X152" s="11"/>
      <c r="Y152" s="11"/>
    </row>
  </sheetData>
  <mergeCells count="7">
    <mergeCell ref="AE1:AG1"/>
    <mergeCell ref="C120:D120"/>
    <mergeCell ref="D1:J1"/>
    <mergeCell ref="L1:R1"/>
    <mergeCell ref="T1:V1"/>
    <mergeCell ref="W1:Y1"/>
    <mergeCell ref="AA1:AC1"/>
  </mergeCells>
  <conditionalFormatting sqref="AA3:AC106">
    <cfRule type="expression" dxfId="7" priority="1" stopIfTrue="1">
      <formula>E3&lt;AA3</formula>
    </cfRule>
    <cfRule type="expression" dxfId="6" priority="2">
      <formula>E3-AA3&gt;0.5</formula>
    </cfRule>
  </conditionalFormatting>
  <conditionalFormatting sqref="AE3:AG106">
    <cfRule type="expression" dxfId="5" priority="3" stopIfTrue="1">
      <formula>M3&lt;AE3</formula>
    </cfRule>
    <cfRule type="expression" dxfId="4" priority="4">
      <formula>M3-AE3&gt;0.5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52"/>
  <sheetViews>
    <sheetView tabSelected="1" topLeftCell="A16" workbookViewId="0">
      <selection activeCell="G12" sqref="G12"/>
    </sheetView>
  </sheetViews>
  <sheetFormatPr defaultColWidth="10.875" defaultRowHeight="14.25" x14ac:dyDescent="0.2"/>
  <cols>
    <col min="1" max="1" width="37" style="55" bestFit="1" customWidth="1"/>
    <col min="2" max="2" width="36.625" style="21" customWidth="1"/>
    <col min="3" max="3" width="7.875" style="21" customWidth="1"/>
    <col min="4" max="4" width="9.875" style="21" customWidth="1"/>
    <col min="5" max="7" width="6.875" style="21" customWidth="1"/>
    <col min="8" max="8" width="8.875" style="21" customWidth="1"/>
    <col min="9" max="9" width="8.875" style="4" customWidth="1"/>
    <col min="10" max="10" width="8.875" style="21" customWidth="1"/>
    <col min="11" max="11" width="2.875" style="21" customWidth="1"/>
    <col min="12" max="12" width="9.875" style="21" customWidth="1"/>
    <col min="13" max="15" width="6.875" style="21" customWidth="1"/>
    <col min="16" max="18" width="8.875" style="21" customWidth="1"/>
    <col min="19" max="19" width="2.875" style="21" customWidth="1"/>
    <col min="20" max="25" width="8.875" style="21" customWidth="1"/>
    <col min="26" max="26" width="2.875" style="21" customWidth="1"/>
    <col min="27" max="29" width="6.875" style="21" customWidth="1"/>
    <col min="30" max="30" width="2.875" style="21" customWidth="1"/>
    <col min="31" max="33" width="6.875" style="21" customWidth="1"/>
    <col min="34" max="16384" width="10.875" style="21"/>
  </cols>
  <sheetData>
    <row r="1" spans="1:38" s="6" customFormat="1" ht="15" customHeight="1" thickBot="1" x14ac:dyDescent="0.25">
      <c r="A1" s="52"/>
      <c r="D1" s="154" t="str">
        <f>Summary!H2</f>
        <v xml:space="preserve">Anchor </v>
      </c>
      <c r="E1" s="154"/>
      <c r="F1" s="154"/>
      <c r="G1" s="154"/>
      <c r="H1" s="154"/>
      <c r="I1" s="154"/>
      <c r="J1" s="154"/>
      <c r="L1" s="154" t="str">
        <f>Summary!H3</f>
        <v xml:space="preserve">Tested </v>
      </c>
      <c r="M1" s="154"/>
      <c r="N1" s="154"/>
      <c r="O1" s="154"/>
      <c r="P1" s="154"/>
      <c r="Q1" s="154"/>
      <c r="R1" s="154"/>
      <c r="S1" s="129"/>
      <c r="T1" s="157" t="s">
        <v>10</v>
      </c>
      <c r="U1" s="157"/>
      <c r="V1" s="157"/>
      <c r="W1" s="157" t="s">
        <v>11</v>
      </c>
      <c r="X1" s="157"/>
      <c r="Y1" s="157"/>
      <c r="AA1" s="158" t="s">
        <v>37</v>
      </c>
      <c r="AB1" s="158"/>
      <c r="AC1" s="158"/>
      <c r="AD1" s="130"/>
      <c r="AE1" s="154" t="s">
        <v>36</v>
      </c>
      <c r="AF1" s="154"/>
      <c r="AG1" s="154"/>
    </row>
    <row r="2" spans="1:38" ht="15" customHeight="1" thickBot="1" x14ac:dyDescent="0.25">
      <c r="A2" s="53"/>
      <c r="B2" s="6"/>
      <c r="C2" s="18" t="s">
        <v>0</v>
      </c>
      <c r="D2" s="22" t="s">
        <v>4</v>
      </c>
      <c r="E2" s="23" t="s">
        <v>60</v>
      </c>
      <c r="F2" s="23" t="s">
        <v>61</v>
      </c>
      <c r="G2" s="23" t="s">
        <v>62</v>
      </c>
      <c r="H2" s="23" t="s">
        <v>5</v>
      </c>
      <c r="I2" s="26" t="s">
        <v>6</v>
      </c>
      <c r="J2" s="72" t="s">
        <v>7</v>
      </c>
      <c r="K2" s="81"/>
      <c r="L2" s="71" t="s">
        <v>4</v>
      </c>
      <c r="M2" s="72" t="s">
        <v>60</v>
      </c>
      <c r="N2" s="72" t="s">
        <v>61</v>
      </c>
      <c r="O2" s="72" t="s">
        <v>62</v>
      </c>
      <c r="P2" s="72" t="s">
        <v>5</v>
      </c>
      <c r="Q2" s="72" t="s">
        <v>6</v>
      </c>
      <c r="R2" s="72" t="s">
        <v>7</v>
      </c>
      <c r="S2" s="82"/>
      <c r="T2" s="71" t="s">
        <v>57</v>
      </c>
      <c r="U2" s="72" t="s">
        <v>58</v>
      </c>
      <c r="V2" s="73" t="s">
        <v>59</v>
      </c>
      <c r="W2" s="71" t="s">
        <v>57</v>
      </c>
      <c r="X2" s="72" t="s">
        <v>58</v>
      </c>
      <c r="Y2" s="73" t="s">
        <v>59</v>
      </c>
      <c r="Z2" s="81"/>
      <c r="AA2" s="23" t="s">
        <v>57</v>
      </c>
      <c r="AB2" s="23" t="s">
        <v>58</v>
      </c>
      <c r="AC2" s="23" t="s">
        <v>59</v>
      </c>
      <c r="AD2" s="82"/>
      <c r="AE2" s="71" t="s">
        <v>57</v>
      </c>
      <c r="AF2" s="72" t="s">
        <v>58</v>
      </c>
      <c r="AG2" s="73" t="s">
        <v>59</v>
      </c>
    </row>
    <row r="3" spans="1:38" ht="15" customHeight="1" x14ac:dyDescent="0.25">
      <c r="A3" s="54" t="s">
        <v>21</v>
      </c>
      <c r="B3" s="34" t="s">
        <v>38</v>
      </c>
      <c r="C3" s="18">
        <v>22</v>
      </c>
      <c r="D3" s="43"/>
      <c r="E3" s="43"/>
      <c r="F3" s="43"/>
      <c r="G3" s="43"/>
      <c r="H3" s="99"/>
      <c r="I3" s="100"/>
      <c r="J3" s="84" t="e">
        <f ca="1">secToHours(H3)</f>
        <v>#NAME?</v>
      </c>
      <c r="K3" s="19"/>
      <c r="L3" s="109"/>
      <c r="M3" s="110"/>
      <c r="N3" s="110"/>
      <c r="O3" s="110"/>
      <c r="P3" s="110"/>
      <c r="Q3" s="119"/>
      <c r="R3" s="84" t="e">
        <f ca="1">secToHours(P3)</f>
        <v>#NAME?</v>
      </c>
      <c r="S3" s="83"/>
      <c r="T3" s="88" t="e">
        <f ca="1">bdrate(D3:D6,E3:E6,L3:L6,M3:M6)</f>
        <v>#NAME?</v>
      </c>
      <c r="U3" s="89" t="e">
        <f ca="1">bdrate(D3:D6,F3:F6,L3:L6,N3:N6)</f>
        <v>#NAME?</v>
      </c>
      <c r="V3" s="89" t="e">
        <f ca="1">bdrate(D3:D6,G3:G6,L3:L6,O3:O6)</f>
        <v>#NAME?</v>
      </c>
      <c r="W3" s="89" t="e">
        <f ca="1">bdrateOld(D3:D6,E3:E6,L3:L6,M3:M6)</f>
        <v>#NAME?</v>
      </c>
      <c r="X3" s="89" t="e">
        <f ca="1">bdrateOld(D3:D6,F3:F6,L3:L6,N3:N6)</f>
        <v>#NAME?</v>
      </c>
      <c r="Y3" s="89" t="e">
        <f ca="1">bdrateOld(D3:D6,G3:G6,L3:L6,O3:O6)</f>
        <v>#NAME?</v>
      </c>
      <c r="Z3" s="19"/>
      <c r="AA3" s="43"/>
      <c r="AB3" s="43"/>
      <c r="AC3" s="43"/>
      <c r="AD3" s="83"/>
      <c r="AE3" s="109">
        <v>46.871000000000002</v>
      </c>
      <c r="AF3" s="110">
        <v>45.694099999999999</v>
      </c>
      <c r="AG3" s="119">
        <v>45.347499999999997</v>
      </c>
      <c r="AI3" s="141"/>
      <c r="AJ3" s="141"/>
      <c r="AK3" s="141"/>
      <c r="AL3" s="141"/>
    </row>
    <row r="4" spans="1:38" ht="15" customHeight="1" x14ac:dyDescent="0.2">
      <c r="B4" s="35"/>
      <c r="C4" s="19">
        <v>27</v>
      </c>
      <c r="D4" s="24"/>
      <c r="E4" s="24"/>
      <c r="F4" s="24"/>
      <c r="G4" s="24"/>
      <c r="H4" s="101"/>
      <c r="I4" s="102"/>
      <c r="J4" s="85" t="e">
        <f ca="1">secToHours(H4)</f>
        <v>#NAME?</v>
      </c>
      <c r="K4" s="19"/>
      <c r="L4" s="111"/>
      <c r="M4" s="112"/>
      <c r="N4" s="112"/>
      <c r="O4" s="112"/>
      <c r="P4" s="112"/>
      <c r="Q4" s="120"/>
      <c r="R4" s="85" t="e">
        <f ca="1">secToHours(P4)</f>
        <v>#NAME?</v>
      </c>
      <c r="S4" s="83"/>
      <c r="T4" s="90"/>
      <c r="U4" s="91"/>
      <c r="V4" s="91"/>
      <c r="W4" s="91"/>
      <c r="X4" s="91"/>
      <c r="Y4" s="91"/>
      <c r="Z4" s="19"/>
      <c r="AA4" s="24"/>
      <c r="AB4" s="24"/>
      <c r="AC4" s="24"/>
      <c r="AD4" s="83"/>
      <c r="AE4" s="111">
        <v>41.212400000000002</v>
      </c>
      <c r="AF4" s="112">
        <v>40.317100000000003</v>
      </c>
      <c r="AG4" s="120">
        <v>40.1616</v>
      </c>
      <c r="AI4" s="141"/>
      <c r="AJ4" s="141"/>
      <c r="AK4" s="141"/>
      <c r="AL4" s="141"/>
    </row>
    <row r="5" spans="1:38" ht="15" customHeight="1" x14ac:dyDescent="0.2">
      <c r="B5" s="36"/>
      <c r="C5" s="19">
        <v>32</v>
      </c>
      <c r="D5" s="24"/>
      <c r="E5" s="24"/>
      <c r="F5" s="24"/>
      <c r="G5" s="24"/>
      <c r="H5" s="101"/>
      <c r="I5" s="102"/>
      <c r="J5" s="85" t="e">
        <f t="shared" ref="J5:J68" ca="1" si="0">secToHours(H5)</f>
        <v>#NAME?</v>
      </c>
      <c r="K5" s="19"/>
      <c r="L5" s="111"/>
      <c r="M5" s="112"/>
      <c r="N5" s="112"/>
      <c r="O5" s="112"/>
      <c r="P5" s="112"/>
      <c r="Q5" s="120"/>
      <c r="R5" s="85" t="e">
        <f t="shared" ref="R5:R68" ca="1" si="1">secToHours(P5)</f>
        <v>#NAME?</v>
      </c>
      <c r="S5" s="83"/>
      <c r="T5" s="90"/>
      <c r="U5" s="91"/>
      <c r="V5" s="91"/>
      <c r="W5" s="91"/>
      <c r="X5" s="91"/>
      <c r="Y5" s="91"/>
      <c r="Z5" s="19"/>
      <c r="AA5" s="24"/>
      <c r="AB5" s="24"/>
      <c r="AC5" s="24"/>
      <c r="AD5" s="83"/>
      <c r="AE5" s="111">
        <v>36.497</v>
      </c>
      <c r="AF5" s="112">
        <v>35.210799999999999</v>
      </c>
      <c r="AG5" s="120">
        <v>35.265900000000002</v>
      </c>
      <c r="AI5" s="141"/>
      <c r="AJ5" s="141"/>
      <c r="AK5" s="141"/>
      <c r="AL5" s="141"/>
    </row>
    <row r="6" spans="1:38" ht="15" customHeight="1" x14ac:dyDescent="0.2">
      <c r="B6" s="36"/>
      <c r="C6" s="19">
        <v>37</v>
      </c>
      <c r="D6" s="25"/>
      <c r="E6" s="25"/>
      <c r="F6" s="25"/>
      <c r="G6" s="25"/>
      <c r="H6" s="103"/>
      <c r="I6" s="104"/>
      <c r="J6" s="86" t="e">
        <f t="shared" ca="1" si="0"/>
        <v>#NAME?</v>
      </c>
      <c r="K6" s="19"/>
      <c r="L6" s="113"/>
      <c r="M6" s="114"/>
      <c r="N6" s="114"/>
      <c r="O6" s="114"/>
      <c r="P6" s="114"/>
      <c r="Q6" s="121"/>
      <c r="R6" s="86" t="e">
        <f t="shared" ca="1" si="1"/>
        <v>#NAME?</v>
      </c>
      <c r="S6" s="83"/>
      <c r="T6" s="92"/>
      <c r="U6" s="93"/>
      <c r="V6" s="93"/>
      <c r="W6" s="93"/>
      <c r="X6" s="93"/>
      <c r="Y6" s="93"/>
      <c r="Z6" s="19"/>
      <c r="AA6" s="25"/>
      <c r="AB6" s="25"/>
      <c r="AC6" s="25"/>
      <c r="AD6" s="83"/>
      <c r="AE6" s="113">
        <v>32.302799999999998</v>
      </c>
      <c r="AF6" s="114">
        <v>30.032499999999999</v>
      </c>
      <c r="AG6" s="121">
        <v>30.447900000000001</v>
      </c>
      <c r="AI6" s="141"/>
      <c r="AJ6" s="141"/>
      <c r="AK6" s="141"/>
      <c r="AL6" s="141"/>
    </row>
    <row r="7" spans="1:38" ht="15" customHeight="1" x14ac:dyDescent="0.2">
      <c r="B7" s="37" t="s">
        <v>39</v>
      </c>
      <c r="C7" s="61">
        <v>22</v>
      </c>
      <c r="D7" s="31"/>
      <c r="E7" s="31"/>
      <c r="F7" s="31"/>
      <c r="G7" s="31"/>
      <c r="H7" s="105"/>
      <c r="I7" s="106"/>
      <c r="J7" s="85" t="e">
        <f t="shared" ca="1" si="0"/>
        <v>#NAME?</v>
      </c>
      <c r="K7" s="19"/>
      <c r="L7" s="115"/>
      <c r="M7" s="116"/>
      <c r="N7" s="116"/>
      <c r="O7" s="116"/>
      <c r="P7" s="116"/>
      <c r="Q7" s="122"/>
      <c r="R7" s="85" t="e">
        <f t="shared" ca="1" si="1"/>
        <v>#NAME?</v>
      </c>
      <c r="S7" s="83"/>
      <c r="T7" s="94" t="e">
        <f ca="1">bdrate(D7:D10,E7:E10,L7:L10,M7:M10)</f>
        <v>#NAME?</v>
      </c>
      <c r="U7" s="95" t="e">
        <f ca="1">bdrate(D7:D10,F7:F10,L7:L10,N7:N10)</f>
        <v>#NAME?</v>
      </c>
      <c r="V7" s="95" t="e">
        <f ca="1">bdrate(D7:D10,G7:G10,L7:L10,O7:O10)</f>
        <v>#NAME?</v>
      </c>
      <c r="W7" s="95" t="e">
        <f ca="1">bdrateOld(D7:D10,E7:E10,L7:L10,M7:M10)</f>
        <v>#NAME?</v>
      </c>
      <c r="X7" s="95" t="e">
        <f ca="1">bdrateOld(D7:D10,F7:F10,L7:L10,N7:N10)</f>
        <v>#NAME?</v>
      </c>
      <c r="Y7" s="95" t="e">
        <f ca="1">bdrateOld(D7:D10,G7:G10,L7:L10,O7:O10)</f>
        <v>#NAME?</v>
      </c>
      <c r="Z7" s="19"/>
      <c r="AA7" s="31"/>
      <c r="AB7" s="31"/>
      <c r="AC7" s="31"/>
      <c r="AD7" s="83"/>
      <c r="AE7" s="115">
        <v>55.2515</v>
      </c>
      <c r="AF7" s="116">
        <v>53.230400000000003</v>
      </c>
      <c r="AG7" s="125">
        <v>52.884099999999997</v>
      </c>
      <c r="AI7" s="141"/>
      <c r="AJ7" s="141"/>
      <c r="AK7" s="141"/>
      <c r="AL7" s="141"/>
    </row>
    <row r="8" spans="1:38" ht="15" customHeight="1" x14ac:dyDescent="0.2">
      <c r="B8" s="36"/>
      <c r="C8" s="19">
        <v>27</v>
      </c>
      <c r="D8" s="24"/>
      <c r="E8" s="24"/>
      <c r="F8" s="24"/>
      <c r="G8" s="24"/>
      <c r="H8" s="101"/>
      <c r="I8" s="102"/>
      <c r="J8" s="85" t="e">
        <f t="shared" ca="1" si="0"/>
        <v>#NAME?</v>
      </c>
      <c r="K8" s="19"/>
      <c r="L8" s="111"/>
      <c r="M8" s="112"/>
      <c r="N8" s="112"/>
      <c r="O8" s="112"/>
      <c r="P8" s="112"/>
      <c r="Q8" s="123"/>
      <c r="R8" s="85" t="e">
        <f t="shared" ca="1" si="1"/>
        <v>#NAME?</v>
      </c>
      <c r="S8" s="83"/>
      <c r="T8" s="90"/>
      <c r="U8" s="91"/>
      <c r="V8" s="91"/>
      <c r="W8" s="91"/>
      <c r="X8" s="91"/>
      <c r="Y8" s="91"/>
      <c r="Z8" s="19"/>
      <c r="AA8" s="24"/>
      <c r="AB8" s="24"/>
      <c r="AC8" s="24"/>
      <c r="AD8" s="83"/>
      <c r="AE8" s="111">
        <v>50.593299999999999</v>
      </c>
      <c r="AF8" s="112">
        <v>48.217599999999997</v>
      </c>
      <c r="AG8" s="120">
        <v>48.063499999999998</v>
      </c>
      <c r="AI8" s="141"/>
      <c r="AJ8" s="141"/>
      <c r="AK8" s="141"/>
      <c r="AL8" s="141"/>
    </row>
    <row r="9" spans="1:38" ht="15" customHeight="1" x14ac:dyDescent="0.2">
      <c r="B9" s="36"/>
      <c r="C9" s="19">
        <v>32</v>
      </c>
      <c r="D9" s="24"/>
      <c r="E9" s="24"/>
      <c r="F9" s="24"/>
      <c r="G9" s="24"/>
      <c r="H9" s="101"/>
      <c r="I9" s="102"/>
      <c r="J9" s="85" t="e">
        <f t="shared" ca="1" si="0"/>
        <v>#NAME?</v>
      </c>
      <c r="K9" s="19"/>
      <c r="L9" s="111"/>
      <c r="M9" s="112"/>
      <c r="N9" s="112"/>
      <c r="O9" s="112"/>
      <c r="P9" s="112"/>
      <c r="Q9" s="123"/>
      <c r="R9" s="85" t="e">
        <f t="shared" ca="1" si="1"/>
        <v>#NAME?</v>
      </c>
      <c r="S9" s="83"/>
      <c r="T9" s="90"/>
      <c r="U9" s="91"/>
      <c r="V9" s="91"/>
      <c r="W9" s="91"/>
      <c r="X9" s="91"/>
      <c r="Y9" s="91"/>
      <c r="Z9" s="19"/>
      <c r="AA9" s="24"/>
      <c r="AB9" s="24"/>
      <c r="AC9" s="24"/>
      <c r="AD9" s="83"/>
      <c r="AE9" s="111">
        <v>45.144399999999997</v>
      </c>
      <c r="AF9" s="112">
        <v>42.277799999999999</v>
      </c>
      <c r="AG9" s="120">
        <v>42.044800000000002</v>
      </c>
      <c r="AI9" s="141"/>
      <c r="AJ9" s="141"/>
      <c r="AK9" s="141"/>
      <c r="AL9" s="141"/>
    </row>
    <row r="10" spans="1:38" ht="15" customHeight="1" x14ac:dyDescent="0.2">
      <c r="B10" s="38"/>
      <c r="C10" s="60">
        <v>37</v>
      </c>
      <c r="D10" s="25"/>
      <c r="E10" s="25"/>
      <c r="F10" s="25"/>
      <c r="G10" s="25"/>
      <c r="H10" s="103"/>
      <c r="I10" s="104"/>
      <c r="J10" s="86" t="e">
        <f t="shared" ca="1" si="0"/>
        <v>#NAME?</v>
      </c>
      <c r="K10" s="19"/>
      <c r="L10" s="113"/>
      <c r="M10" s="114"/>
      <c r="N10" s="114"/>
      <c r="O10" s="114"/>
      <c r="P10" s="114"/>
      <c r="Q10" s="121"/>
      <c r="R10" s="86" t="e">
        <f t="shared" ca="1" si="1"/>
        <v>#NAME?</v>
      </c>
      <c r="S10" s="83"/>
      <c r="T10" s="92"/>
      <c r="U10" s="93"/>
      <c r="V10" s="93"/>
      <c r="W10" s="93"/>
      <c r="X10" s="93"/>
      <c r="Y10" s="93"/>
      <c r="Z10" s="19"/>
      <c r="AA10" s="25"/>
      <c r="AB10" s="25"/>
      <c r="AC10" s="25"/>
      <c r="AD10" s="83"/>
      <c r="AE10" s="113">
        <v>39.173999999999999</v>
      </c>
      <c r="AF10" s="114">
        <v>36.121000000000002</v>
      </c>
      <c r="AG10" s="121">
        <v>35.710799999999999</v>
      </c>
      <c r="AI10" s="141"/>
      <c r="AJ10" s="141"/>
      <c r="AK10" s="141"/>
      <c r="AL10" s="141"/>
    </row>
    <row r="11" spans="1:38" ht="15" customHeight="1" x14ac:dyDescent="0.2">
      <c r="B11" s="37" t="s">
        <v>40</v>
      </c>
      <c r="C11" s="19">
        <v>22</v>
      </c>
      <c r="D11" s="24"/>
      <c r="E11" s="24"/>
      <c r="F11" s="24"/>
      <c r="G11" s="24"/>
      <c r="H11" s="101"/>
      <c r="I11" s="102"/>
      <c r="J11" s="85" t="e">
        <f t="shared" ca="1" si="0"/>
        <v>#NAME?</v>
      </c>
      <c r="K11" s="19"/>
      <c r="L11" s="111"/>
      <c r="M11" s="112"/>
      <c r="N11" s="112"/>
      <c r="O11" s="112"/>
      <c r="P11" s="112"/>
      <c r="Q11" s="120"/>
      <c r="R11" s="85" t="e">
        <f t="shared" ca="1" si="1"/>
        <v>#NAME?</v>
      </c>
      <c r="S11" s="83"/>
      <c r="T11" s="90" t="e">
        <f ca="1">bdrate(D11:D14,E11:E14,L11:L14,M11:M14)</f>
        <v>#NAME?</v>
      </c>
      <c r="U11" s="91" t="e">
        <f ca="1">bdrate(D11:D14,F11:F14,L11:L14,N11:N14)</f>
        <v>#NAME?</v>
      </c>
      <c r="V11" s="91" t="e">
        <f ca="1">bdrate(D11:D14,G11:G14,L11:L14,O11:O14)</f>
        <v>#NAME?</v>
      </c>
      <c r="W11" s="91" t="e">
        <f ca="1">bdrateOld(D11:D14,E11:E14,L11:L14,M11:M14)</f>
        <v>#NAME?</v>
      </c>
      <c r="X11" s="91" t="e">
        <f ca="1">bdrateOld(D11:D14,F11:F14,L11:L14,N11:N14)</f>
        <v>#NAME?</v>
      </c>
      <c r="Y11" s="91" t="e">
        <f ca="1">bdrateOld(D11:D14,G11:G14,L11:L14,O11:O14)</f>
        <v>#NAME?</v>
      </c>
      <c r="Z11" s="19"/>
      <c r="AA11" s="24"/>
      <c r="AB11" s="24"/>
      <c r="AC11" s="24"/>
      <c r="AD11" s="83"/>
      <c r="AE11" s="111">
        <v>54.933700000000002</v>
      </c>
      <c r="AF11" s="112">
        <v>54.3142</v>
      </c>
      <c r="AG11" s="120">
        <v>53.395899999999997</v>
      </c>
      <c r="AI11" s="141"/>
      <c r="AJ11" s="141"/>
      <c r="AK11" s="141"/>
      <c r="AL11" s="141"/>
    </row>
    <row r="12" spans="1:38" ht="15" customHeight="1" x14ac:dyDescent="0.2">
      <c r="B12" s="36"/>
      <c r="C12" s="19">
        <v>27</v>
      </c>
      <c r="D12" s="24"/>
      <c r="E12" s="24"/>
      <c r="F12" s="24"/>
      <c r="G12" s="24"/>
      <c r="H12" s="101"/>
      <c r="I12" s="102"/>
      <c r="J12" s="85" t="e">
        <f t="shared" ca="1" si="0"/>
        <v>#NAME?</v>
      </c>
      <c r="K12" s="19"/>
      <c r="L12" s="111"/>
      <c r="M12" s="112"/>
      <c r="N12" s="112"/>
      <c r="O12" s="112"/>
      <c r="P12" s="112"/>
      <c r="Q12" s="120"/>
      <c r="R12" s="85" t="e">
        <f t="shared" ca="1" si="1"/>
        <v>#NAME?</v>
      </c>
      <c r="S12" s="83"/>
      <c r="T12" s="90"/>
      <c r="U12" s="91"/>
      <c r="V12" s="91"/>
      <c r="W12" s="91"/>
      <c r="X12" s="91"/>
      <c r="Y12" s="91"/>
      <c r="Z12" s="19"/>
      <c r="AA12" s="24"/>
      <c r="AB12" s="24"/>
      <c r="AC12" s="24"/>
      <c r="AD12" s="83"/>
      <c r="AE12" s="111">
        <v>49.602699999999999</v>
      </c>
      <c r="AF12" s="112">
        <v>48.785899999999998</v>
      </c>
      <c r="AG12" s="120">
        <v>47.620699999999999</v>
      </c>
      <c r="AI12" s="141"/>
      <c r="AJ12" s="141"/>
      <c r="AK12" s="141"/>
      <c r="AL12" s="141"/>
    </row>
    <row r="13" spans="1:38" ht="15" customHeight="1" x14ac:dyDescent="0.2">
      <c r="B13" s="36"/>
      <c r="C13" s="19">
        <v>32</v>
      </c>
      <c r="D13" s="24"/>
      <c r="E13" s="24"/>
      <c r="F13" s="24"/>
      <c r="G13" s="24"/>
      <c r="H13" s="101"/>
      <c r="I13" s="102"/>
      <c r="J13" s="85" t="e">
        <f t="shared" ca="1" si="0"/>
        <v>#NAME?</v>
      </c>
      <c r="K13" s="19"/>
      <c r="L13" s="111"/>
      <c r="M13" s="112"/>
      <c r="N13" s="112"/>
      <c r="O13" s="112"/>
      <c r="P13" s="112"/>
      <c r="Q13" s="120"/>
      <c r="R13" s="85" t="e">
        <f t="shared" ca="1" si="1"/>
        <v>#NAME?</v>
      </c>
      <c r="S13" s="83"/>
      <c r="T13" s="90"/>
      <c r="U13" s="91"/>
      <c r="V13" s="91"/>
      <c r="W13" s="91"/>
      <c r="X13" s="91"/>
      <c r="Y13" s="91"/>
      <c r="Z13" s="19"/>
      <c r="AA13" s="24"/>
      <c r="AB13" s="24"/>
      <c r="AC13" s="24"/>
      <c r="AD13" s="83"/>
      <c r="AE13" s="111">
        <v>43.933500000000002</v>
      </c>
      <c r="AF13" s="112">
        <v>43.0901</v>
      </c>
      <c r="AG13" s="120">
        <v>41.6417</v>
      </c>
      <c r="AI13" s="141"/>
      <c r="AJ13" s="141"/>
      <c r="AK13" s="141"/>
      <c r="AL13" s="141"/>
    </row>
    <row r="14" spans="1:38" ht="15" customHeight="1" thickBot="1" x14ac:dyDescent="0.25">
      <c r="B14" s="77"/>
      <c r="C14" s="20">
        <v>37</v>
      </c>
      <c r="D14" s="33"/>
      <c r="E14" s="33"/>
      <c r="F14" s="33"/>
      <c r="G14" s="33"/>
      <c r="H14" s="107"/>
      <c r="I14" s="108"/>
      <c r="J14" s="87" t="e">
        <f t="shared" ca="1" si="0"/>
        <v>#NAME?</v>
      </c>
      <c r="K14" s="19"/>
      <c r="L14" s="117"/>
      <c r="M14" s="118"/>
      <c r="N14" s="118"/>
      <c r="O14" s="118"/>
      <c r="P14" s="118"/>
      <c r="Q14" s="124"/>
      <c r="R14" s="87" t="e">
        <f t="shared" ca="1" si="1"/>
        <v>#NAME?</v>
      </c>
      <c r="S14" s="83"/>
      <c r="T14" s="96"/>
      <c r="U14" s="97"/>
      <c r="V14" s="97"/>
      <c r="W14" s="97"/>
      <c r="X14" s="97"/>
      <c r="Y14" s="97"/>
      <c r="Z14" s="19"/>
      <c r="AA14" s="33"/>
      <c r="AB14" s="33"/>
      <c r="AC14" s="33"/>
      <c r="AD14" s="83"/>
      <c r="AE14" s="117">
        <v>38.343600000000002</v>
      </c>
      <c r="AF14" s="118">
        <v>37.370199999999997</v>
      </c>
      <c r="AG14" s="124">
        <v>35.1496</v>
      </c>
      <c r="AI14" s="141"/>
      <c r="AJ14" s="141"/>
      <c r="AK14" s="141"/>
      <c r="AL14" s="141"/>
    </row>
    <row r="15" spans="1:38" ht="15" customHeight="1" x14ac:dyDescent="0.25">
      <c r="A15" s="54" t="s">
        <v>22</v>
      </c>
      <c r="B15" s="34" t="s">
        <v>41</v>
      </c>
      <c r="C15" s="18">
        <v>22</v>
      </c>
      <c r="D15" s="24"/>
      <c r="E15" s="24"/>
      <c r="F15" s="24"/>
      <c r="G15" s="24"/>
      <c r="H15" s="101"/>
      <c r="I15" s="102"/>
      <c r="J15" s="85" t="e">
        <f t="shared" ca="1" si="0"/>
        <v>#NAME?</v>
      </c>
      <c r="K15" s="19"/>
      <c r="L15" s="111"/>
      <c r="M15" s="112"/>
      <c r="N15" s="112"/>
      <c r="O15" s="112"/>
      <c r="P15" s="112"/>
      <c r="Q15" s="120"/>
      <c r="R15" s="85" t="e">
        <f t="shared" ca="1" si="1"/>
        <v>#NAME?</v>
      </c>
      <c r="S15" s="83"/>
      <c r="T15" s="90" t="e">
        <f ca="1">bdrate(D15:D18,E15:E18,L15:L18,M15:M18)</f>
        <v>#NAME?</v>
      </c>
      <c r="U15" s="91" t="e">
        <f ca="1">bdrate(D15:D18,F15:F18,L15:L18,N15:N18)</f>
        <v>#NAME?</v>
      </c>
      <c r="V15" s="91" t="e">
        <f ca="1">bdrate(D15:D18,G15:G18,L15:L18,O15:O18)</f>
        <v>#NAME?</v>
      </c>
      <c r="W15" s="91" t="e">
        <f ca="1">bdrateOld(D15:D18,E15:E18,L15:L18,M15:M18)</f>
        <v>#NAME?</v>
      </c>
      <c r="X15" s="91" t="e">
        <f ca="1">bdrateOld(D15:D18,F15:F18,L15:L18,N15:N18)</f>
        <v>#NAME?</v>
      </c>
      <c r="Y15" s="91" t="e">
        <f ca="1">bdrateOld(D15:D18,G15:G18,L15:L18,O15:O18)</f>
        <v>#NAME?</v>
      </c>
      <c r="Z15" s="19"/>
      <c r="AA15" s="24"/>
      <c r="AB15" s="24"/>
      <c r="AC15" s="24"/>
      <c r="AD15" s="83"/>
      <c r="AE15" s="111">
        <v>53.537100000000002</v>
      </c>
      <c r="AF15" s="112">
        <v>51.515799999999999</v>
      </c>
      <c r="AG15" s="120">
        <v>51.366100000000003</v>
      </c>
      <c r="AI15" s="141"/>
      <c r="AJ15" s="141"/>
      <c r="AK15" s="141"/>
      <c r="AL15" s="141"/>
    </row>
    <row r="16" spans="1:38" ht="15" customHeight="1" x14ac:dyDescent="0.2">
      <c r="B16" s="36"/>
      <c r="C16" s="19">
        <v>27</v>
      </c>
      <c r="D16" s="24"/>
      <c r="E16" s="24"/>
      <c r="F16" s="24"/>
      <c r="G16" s="24"/>
      <c r="H16" s="101"/>
      <c r="I16" s="102"/>
      <c r="J16" s="85" t="e">
        <f t="shared" ca="1" si="0"/>
        <v>#NAME?</v>
      </c>
      <c r="K16" s="19"/>
      <c r="L16" s="111"/>
      <c r="M16" s="112"/>
      <c r="N16" s="112"/>
      <c r="O16" s="112"/>
      <c r="P16" s="112"/>
      <c r="Q16" s="120"/>
      <c r="R16" s="85" t="e">
        <f t="shared" ca="1" si="1"/>
        <v>#NAME?</v>
      </c>
      <c r="S16" s="83"/>
      <c r="T16" s="90"/>
      <c r="U16" s="91"/>
      <c r="V16" s="91"/>
      <c r="W16" s="91"/>
      <c r="X16" s="91"/>
      <c r="Y16" s="91"/>
      <c r="Z16" s="19"/>
      <c r="AA16" s="24"/>
      <c r="AB16" s="24"/>
      <c r="AC16" s="24"/>
      <c r="AD16" s="83"/>
      <c r="AE16" s="111">
        <v>49.3108</v>
      </c>
      <c r="AF16" s="112">
        <v>46.8262</v>
      </c>
      <c r="AG16" s="120">
        <v>46.916800000000002</v>
      </c>
      <c r="AI16" s="141"/>
      <c r="AJ16" s="141"/>
      <c r="AK16" s="141"/>
      <c r="AL16" s="141"/>
    </row>
    <row r="17" spans="1:38" ht="15" customHeight="1" x14ac:dyDescent="0.2">
      <c r="B17" s="36"/>
      <c r="C17" s="19">
        <v>32</v>
      </c>
      <c r="D17" s="24"/>
      <c r="E17" s="24"/>
      <c r="F17" s="24"/>
      <c r="G17" s="24"/>
      <c r="H17" s="101"/>
      <c r="I17" s="102"/>
      <c r="J17" s="85" t="e">
        <f t="shared" ca="1" si="0"/>
        <v>#NAME?</v>
      </c>
      <c r="K17" s="19"/>
      <c r="L17" s="111"/>
      <c r="M17" s="112"/>
      <c r="N17" s="112"/>
      <c r="O17" s="112"/>
      <c r="P17" s="112"/>
      <c r="Q17" s="120"/>
      <c r="R17" s="85" t="e">
        <f t="shared" ca="1" si="1"/>
        <v>#NAME?</v>
      </c>
      <c r="S17" s="83"/>
      <c r="T17" s="90"/>
      <c r="U17" s="91"/>
      <c r="V17" s="91"/>
      <c r="W17" s="91"/>
      <c r="X17" s="91"/>
      <c r="Y17" s="91"/>
      <c r="Z17" s="19"/>
      <c r="AA17" s="24"/>
      <c r="AB17" s="24"/>
      <c r="AC17" s="24"/>
      <c r="AD17" s="83"/>
      <c r="AE17" s="111">
        <v>44.712000000000003</v>
      </c>
      <c r="AF17" s="112">
        <v>41.248800000000003</v>
      </c>
      <c r="AG17" s="120">
        <v>41.589700000000001</v>
      </c>
      <c r="AI17" s="141"/>
      <c r="AJ17" s="141"/>
      <c r="AK17" s="141"/>
      <c r="AL17" s="141"/>
    </row>
    <row r="18" spans="1:38" ht="15" customHeight="1" x14ac:dyDescent="0.2">
      <c r="B18" s="38"/>
      <c r="C18" s="19">
        <v>37</v>
      </c>
      <c r="D18" s="24"/>
      <c r="E18" s="24"/>
      <c r="F18" s="24"/>
      <c r="G18" s="24"/>
      <c r="H18" s="101"/>
      <c r="I18" s="102"/>
      <c r="J18" s="86" t="e">
        <f t="shared" ca="1" si="0"/>
        <v>#NAME?</v>
      </c>
      <c r="K18" s="19"/>
      <c r="L18" s="111"/>
      <c r="M18" s="112"/>
      <c r="N18" s="112"/>
      <c r="O18" s="112"/>
      <c r="P18" s="112"/>
      <c r="Q18" s="120"/>
      <c r="R18" s="86" t="e">
        <f t="shared" ca="1" si="1"/>
        <v>#NAME?</v>
      </c>
      <c r="S18" s="83"/>
      <c r="T18" s="90"/>
      <c r="U18" s="91"/>
      <c r="V18" s="91"/>
      <c r="W18" s="91"/>
      <c r="X18" s="91"/>
      <c r="Y18" s="91"/>
      <c r="Z18" s="19"/>
      <c r="AA18" s="24"/>
      <c r="AB18" s="24"/>
      <c r="AC18" s="24"/>
      <c r="AD18" s="83"/>
      <c r="AE18" s="111">
        <v>39.478099999999998</v>
      </c>
      <c r="AF18" s="112">
        <v>35.293199999999999</v>
      </c>
      <c r="AG18" s="120">
        <v>35.786299999999997</v>
      </c>
      <c r="AI18" s="141"/>
      <c r="AJ18" s="141"/>
      <c r="AK18" s="141"/>
      <c r="AL18" s="141"/>
    </row>
    <row r="19" spans="1:38" ht="15" customHeight="1" x14ac:dyDescent="0.2">
      <c r="B19" s="48" t="s">
        <v>42</v>
      </c>
      <c r="C19" s="61">
        <v>22</v>
      </c>
      <c r="D19" s="31"/>
      <c r="E19" s="31"/>
      <c r="F19" s="31"/>
      <c r="G19" s="31"/>
      <c r="H19" s="105"/>
      <c r="I19" s="106"/>
      <c r="J19" s="85" t="e">
        <f t="shared" ca="1" si="0"/>
        <v>#NAME?</v>
      </c>
      <c r="K19" s="19"/>
      <c r="L19" s="115"/>
      <c r="M19" s="116"/>
      <c r="N19" s="116"/>
      <c r="O19" s="116"/>
      <c r="P19" s="116"/>
      <c r="Q19" s="125"/>
      <c r="R19" s="85" t="e">
        <f t="shared" ca="1" si="1"/>
        <v>#NAME?</v>
      </c>
      <c r="S19" s="83"/>
      <c r="T19" s="94" t="e">
        <f ca="1">bdrate(D19:D22,E19:E22,L19:L22,M19:M22)</f>
        <v>#NAME?</v>
      </c>
      <c r="U19" s="95" t="e">
        <f ca="1">bdrate(D19:D22,F19:F22,L19:L22,N19:N22)</f>
        <v>#NAME?</v>
      </c>
      <c r="V19" s="95" t="e">
        <f ca="1">bdrate(D19:D22,G19:G22,L19:L22,O19:O22)</f>
        <v>#NAME?</v>
      </c>
      <c r="W19" s="95" t="e">
        <f ca="1">bdrateOld(D19:D22,E19:E22,L19:L22,M19:M22)</f>
        <v>#NAME?</v>
      </c>
      <c r="X19" s="95" t="e">
        <f ca="1">bdrateOld(D19:D22,F19:F22,L19:L22,N19:N22)</f>
        <v>#NAME?</v>
      </c>
      <c r="Y19" s="95" t="e">
        <f ca="1">bdrateOld(D19:D22,G19:G22,L19:L22,O19:O22)</f>
        <v>#NAME?</v>
      </c>
      <c r="Z19" s="19"/>
      <c r="AA19" s="31"/>
      <c r="AB19" s="31"/>
      <c r="AC19" s="31"/>
      <c r="AD19" s="83"/>
      <c r="AE19" s="115">
        <v>48.363599999999998</v>
      </c>
      <c r="AF19" s="116">
        <v>46.268999999999998</v>
      </c>
      <c r="AG19" s="125">
        <v>47.237200000000001</v>
      </c>
      <c r="AI19" s="141"/>
      <c r="AJ19" s="141"/>
      <c r="AK19" s="141"/>
      <c r="AL19" s="141"/>
    </row>
    <row r="20" spans="1:38" ht="15" customHeight="1" x14ac:dyDescent="0.2">
      <c r="B20" s="36"/>
      <c r="C20" s="19">
        <v>27</v>
      </c>
      <c r="D20" s="24"/>
      <c r="E20" s="24"/>
      <c r="F20" s="24"/>
      <c r="G20" s="24"/>
      <c r="H20" s="101"/>
      <c r="I20" s="102"/>
      <c r="J20" s="85" t="e">
        <f t="shared" ca="1" si="0"/>
        <v>#NAME?</v>
      </c>
      <c r="K20" s="19"/>
      <c r="L20" s="111"/>
      <c r="M20" s="112"/>
      <c r="N20" s="112"/>
      <c r="O20" s="112"/>
      <c r="P20" s="112"/>
      <c r="Q20" s="120"/>
      <c r="R20" s="85" t="e">
        <f t="shared" ca="1" si="1"/>
        <v>#NAME?</v>
      </c>
      <c r="S20" s="83"/>
      <c r="T20" s="90"/>
      <c r="U20" s="91"/>
      <c r="V20" s="91"/>
      <c r="W20" s="91"/>
      <c r="X20" s="91"/>
      <c r="Y20" s="91"/>
      <c r="Z20" s="19"/>
      <c r="AA20" s="24"/>
      <c r="AB20" s="24"/>
      <c r="AC20" s="24"/>
      <c r="AD20" s="83"/>
      <c r="AE20" s="111">
        <v>43.9574</v>
      </c>
      <c r="AF20" s="112">
        <v>41.946100000000001</v>
      </c>
      <c r="AG20" s="120">
        <v>43.250900000000001</v>
      </c>
      <c r="AI20" s="141"/>
      <c r="AJ20" s="141"/>
      <c r="AK20" s="141"/>
      <c r="AL20" s="141"/>
    </row>
    <row r="21" spans="1:38" ht="15" customHeight="1" x14ac:dyDescent="0.2">
      <c r="B21" s="48"/>
      <c r="C21" s="19">
        <v>32</v>
      </c>
      <c r="D21" s="24"/>
      <c r="E21" s="24"/>
      <c r="F21" s="24"/>
      <c r="G21" s="24"/>
      <c r="H21" s="101"/>
      <c r="I21" s="102"/>
      <c r="J21" s="85" t="e">
        <f t="shared" ca="1" si="0"/>
        <v>#NAME?</v>
      </c>
      <c r="K21" s="19"/>
      <c r="L21" s="111"/>
      <c r="M21" s="112"/>
      <c r="N21" s="112"/>
      <c r="O21" s="112"/>
      <c r="P21" s="112"/>
      <c r="Q21" s="120"/>
      <c r="R21" s="85" t="e">
        <f t="shared" ca="1" si="1"/>
        <v>#NAME?</v>
      </c>
      <c r="S21" s="83"/>
      <c r="T21" s="90"/>
      <c r="U21" s="91"/>
      <c r="V21" s="91"/>
      <c r="W21" s="91"/>
      <c r="X21" s="91"/>
      <c r="Y21" s="91"/>
      <c r="Z21" s="19"/>
      <c r="AA21" s="24"/>
      <c r="AB21" s="24"/>
      <c r="AC21" s="24"/>
      <c r="AD21" s="83"/>
      <c r="AE21" s="111">
        <v>39.253999999999998</v>
      </c>
      <c r="AF21" s="112">
        <v>37.3279</v>
      </c>
      <c r="AG21" s="120">
        <v>38.937899999999999</v>
      </c>
      <c r="AI21" s="141"/>
      <c r="AJ21" s="141"/>
      <c r="AK21" s="141"/>
      <c r="AL21" s="141"/>
    </row>
    <row r="22" spans="1:38" ht="15" customHeight="1" x14ac:dyDescent="0.2">
      <c r="B22" s="36"/>
      <c r="C22" s="60">
        <v>37</v>
      </c>
      <c r="D22" s="25"/>
      <c r="E22" s="25"/>
      <c r="F22" s="25"/>
      <c r="G22" s="25"/>
      <c r="H22" s="103"/>
      <c r="I22" s="104"/>
      <c r="J22" s="86" t="e">
        <f t="shared" ca="1" si="0"/>
        <v>#NAME?</v>
      </c>
      <c r="K22" s="19"/>
      <c r="L22" s="113"/>
      <c r="M22" s="114"/>
      <c r="N22" s="114"/>
      <c r="O22" s="114"/>
      <c r="P22" s="114"/>
      <c r="Q22" s="121"/>
      <c r="R22" s="86" t="e">
        <f t="shared" ca="1" si="1"/>
        <v>#NAME?</v>
      </c>
      <c r="S22" s="83"/>
      <c r="T22" s="92"/>
      <c r="U22" s="93"/>
      <c r="V22" s="93"/>
      <c r="W22" s="93"/>
      <c r="X22" s="93"/>
      <c r="Y22" s="93"/>
      <c r="Z22" s="19"/>
      <c r="AA22" s="25"/>
      <c r="AB22" s="25"/>
      <c r="AC22" s="25"/>
      <c r="AD22" s="83"/>
      <c r="AE22" s="113">
        <v>34.913699999999999</v>
      </c>
      <c r="AF22" s="114">
        <v>32.705199999999998</v>
      </c>
      <c r="AG22" s="121">
        <v>34.575099999999999</v>
      </c>
      <c r="AI22" s="141"/>
      <c r="AJ22" s="141"/>
      <c r="AK22" s="141"/>
      <c r="AL22" s="141"/>
    </row>
    <row r="23" spans="1:38" ht="15" customHeight="1" x14ac:dyDescent="0.2">
      <c r="B23" s="37" t="s">
        <v>43</v>
      </c>
      <c r="C23" s="19">
        <v>22</v>
      </c>
      <c r="D23" s="31"/>
      <c r="E23" s="31"/>
      <c r="F23" s="31"/>
      <c r="G23" s="31"/>
      <c r="H23" s="105"/>
      <c r="I23" s="106"/>
      <c r="J23" s="85" t="e">
        <f t="shared" ca="1" si="0"/>
        <v>#NAME?</v>
      </c>
      <c r="K23" s="19"/>
      <c r="L23" s="115"/>
      <c r="M23" s="116"/>
      <c r="N23" s="116"/>
      <c r="O23" s="116"/>
      <c r="P23" s="116"/>
      <c r="Q23" s="125"/>
      <c r="R23" s="85" t="e">
        <f t="shared" ca="1" si="1"/>
        <v>#NAME?</v>
      </c>
      <c r="S23" s="83"/>
      <c r="T23" s="94" t="e">
        <f ca="1">bdrate(D23:D26,E23:E26,L23:L26,M23:M26)</f>
        <v>#NAME?</v>
      </c>
      <c r="U23" s="95" t="e">
        <f ca="1">bdrate(D23:D26,F23:F26,L23:L26,N23:N26)</f>
        <v>#NAME?</v>
      </c>
      <c r="V23" s="95" t="e">
        <f ca="1">bdrate(D23:D26,G23:G26,L23:L26,O23:O26)</f>
        <v>#NAME?</v>
      </c>
      <c r="W23" s="95" t="e">
        <f ca="1">bdrateOld(D23:D26,E23:E26,L23:L26,M23:M26)</f>
        <v>#NAME?</v>
      </c>
      <c r="X23" s="95" t="e">
        <f ca="1">bdrateOld(D23:D26,F23:F26,L23:L26,N23:N26)</f>
        <v>#NAME?</v>
      </c>
      <c r="Y23" s="95" t="e">
        <f ca="1">bdrateOld(D23:D26,G23:G26,L23:L26,O23:O26)</f>
        <v>#NAME?</v>
      </c>
      <c r="Z23" s="19"/>
      <c r="AA23" s="31"/>
      <c r="AB23" s="31"/>
      <c r="AC23" s="31"/>
      <c r="AD23" s="83"/>
      <c r="AE23" s="115">
        <v>47.151699999999998</v>
      </c>
      <c r="AF23" s="116">
        <v>45.354399999999998</v>
      </c>
      <c r="AG23" s="125">
        <v>45.219099999999997</v>
      </c>
      <c r="AI23" s="141"/>
      <c r="AJ23" s="141"/>
      <c r="AK23" s="141"/>
      <c r="AL23" s="141"/>
    </row>
    <row r="24" spans="1:38" ht="15" customHeight="1" x14ac:dyDescent="0.2">
      <c r="B24" s="36"/>
      <c r="C24" s="19">
        <v>27</v>
      </c>
      <c r="D24" s="24"/>
      <c r="E24" s="24"/>
      <c r="F24" s="24"/>
      <c r="G24" s="24"/>
      <c r="H24" s="101"/>
      <c r="I24" s="102"/>
      <c r="J24" s="85" t="e">
        <f t="shared" ca="1" si="0"/>
        <v>#NAME?</v>
      </c>
      <c r="K24" s="19"/>
      <c r="L24" s="111"/>
      <c r="M24" s="112"/>
      <c r="N24" s="112"/>
      <c r="O24" s="112"/>
      <c r="P24" s="112"/>
      <c r="Q24" s="120"/>
      <c r="R24" s="85" t="e">
        <f t="shared" ca="1" si="1"/>
        <v>#NAME?</v>
      </c>
      <c r="S24" s="83"/>
      <c r="T24" s="90"/>
      <c r="U24" s="91"/>
      <c r="V24" s="91"/>
      <c r="W24" s="91"/>
      <c r="X24" s="91"/>
      <c r="Y24" s="91"/>
      <c r="Z24" s="19"/>
      <c r="AA24" s="24"/>
      <c r="AB24" s="24"/>
      <c r="AC24" s="24"/>
      <c r="AD24" s="83"/>
      <c r="AE24" s="111">
        <v>43.221800000000002</v>
      </c>
      <c r="AF24" s="112">
        <v>40.435499999999998</v>
      </c>
      <c r="AG24" s="120">
        <v>40.956600000000002</v>
      </c>
      <c r="AI24" s="141"/>
      <c r="AJ24" s="141"/>
      <c r="AK24" s="141"/>
      <c r="AL24" s="141"/>
    </row>
    <row r="25" spans="1:38" ht="15" customHeight="1" x14ac:dyDescent="0.2">
      <c r="B25" s="36"/>
      <c r="C25" s="19">
        <v>32</v>
      </c>
      <c r="D25" s="24"/>
      <c r="E25" s="24"/>
      <c r="F25" s="24"/>
      <c r="G25" s="24"/>
      <c r="H25" s="101"/>
      <c r="I25" s="102"/>
      <c r="J25" s="85" t="e">
        <f t="shared" ca="1" si="0"/>
        <v>#NAME?</v>
      </c>
      <c r="K25" s="19"/>
      <c r="L25" s="111"/>
      <c r="M25" s="112"/>
      <c r="N25" s="112"/>
      <c r="O25" s="112"/>
      <c r="P25" s="112"/>
      <c r="Q25" s="120"/>
      <c r="R25" s="85" t="e">
        <f t="shared" ca="1" si="1"/>
        <v>#NAME?</v>
      </c>
      <c r="S25" s="83"/>
      <c r="T25" s="90"/>
      <c r="U25" s="91"/>
      <c r="V25" s="91"/>
      <c r="W25" s="91"/>
      <c r="X25" s="91"/>
      <c r="Y25" s="91"/>
      <c r="Z25" s="19"/>
      <c r="AA25" s="24"/>
      <c r="AB25" s="24"/>
      <c r="AC25" s="24"/>
      <c r="AD25" s="83"/>
      <c r="AE25" s="111">
        <v>38.908900000000003</v>
      </c>
      <c r="AF25" s="112">
        <v>35.364400000000003</v>
      </c>
      <c r="AG25" s="120">
        <v>36.413200000000003</v>
      </c>
      <c r="AI25" s="141"/>
      <c r="AJ25" s="141"/>
      <c r="AK25" s="141"/>
      <c r="AL25" s="141"/>
    </row>
    <row r="26" spans="1:38" ht="15" customHeight="1" x14ac:dyDescent="0.2">
      <c r="B26" s="48"/>
      <c r="C26" s="19">
        <v>37</v>
      </c>
      <c r="D26" s="25"/>
      <c r="E26" s="25"/>
      <c r="F26" s="25"/>
      <c r="G26" s="25"/>
      <c r="H26" s="103"/>
      <c r="I26" s="104"/>
      <c r="J26" s="86" t="e">
        <f t="shared" ca="1" si="0"/>
        <v>#NAME?</v>
      </c>
      <c r="K26" s="19"/>
      <c r="L26" s="113"/>
      <c r="M26" s="114"/>
      <c r="N26" s="114"/>
      <c r="O26" s="114"/>
      <c r="P26" s="114"/>
      <c r="Q26" s="121"/>
      <c r="R26" s="86" t="e">
        <f t="shared" ca="1" si="1"/>
        <v>#NAME?</v>
      </c>
      <c r="S26" s="83"/>
      <c r="T26" s="92"/>
      <c r="U26" s="93"/>
      <c r="V26" s="93"/>
      <c r="W26" s="93"/>
      <c r="X26" s="93"/>
      <c r="Y26" s="93"/>
      <c r="Z26" s="19"/>
      <c r="AA26" s="25"/>
      <c r="AB26" s="25"/>
      <c r="AC26" s="25"/>
      <c r="AD26" s="83"/>
      <c r="AE26" s="113">
        <v>34.648800000000001</v>
      </c>
      <c r="AF26" s="114">
        <v>30.822299999999998</v>
      </c>
      <c r="AG26" s="121">
        <v>31.977499999999999</v>
      </c>
      <c r="AI26" s="141"/>
      <c r="AJ26" s="141"/>
      <c r="AK26" s="141"/>
      <c r="AL26" s="141"/>
    </row>
    <row r="27" spans="1:38" ht="15" customHeight="1" x14ac:dyDescent="0.2">
      <c r="B27" s="37" t="s">
        <v>44</v>
      </c>
      <c r="C27" s="61">
        <v>22</v>
      </c>
      <c r="D27" s="24"/>
      <c r="E27" s="24"/>
      <c r="F27" s="24"/>
      <c r="G27" s="24"/>
      <c r="H27" s="101"/>
      <c r="I27" s="102"/>
      <c r="J27" s="85" t="e">
        <f t="shared" ca="1" si="0"/>
        <v>#NAME?</v>
      </c>
      <c r="K27" s="19"/>
      <c r="L27" s="111"/>
      <c r="M27" s="112"/>
      <c r="N27" s="112"/>
      <c r="O27" s="112"/>
      <c r="P27" s="112"/>
      <c r="Q27" s="120"/>
      <c r="R27" s="85" t="e">
        <f t="shared" ca="1" si="1"/>
        <v>#NAME?</v>
      </c>
      <c r="S27" s="83"/>
      <c r="T27" s="90" t="e">
        <f ca="1">bdrate(D27:D30,E27:E30,L27:L30,M27:M30)</f>
        <v>#NAME?</v>
      </c>
      <c r="U27" s="91" t="e">
        <f ca="1">bdrate(D27:D30,F27:F30,L27:L30,N27:N30)</f>
        <v>#NAME?</v>
      </c>
      <c r="V27" s="91" t="e">
        <f ca="1">bdrate(D27:D30,G27:G30,L27:L30,O27:O30)</f>
        <v>#NAME?</v>
      </c>
      <c r="W27" s="91" t="e">
        <f ca="1">bdrateOld(D27:D30,E27:E30,L27:L30,M27:M30)</f>
        <v>#NAME?</v>
      </c>
      <c r="X27" s="91" t="e">
        <f ca="1">bdrateOld(D27:D30,F27:F30,L27:L30,N27:N30)</f>
        <v>#NAME?</v>
      </c>
      <c r="Y27" s="91" t="e">
        <f ca="1">bdrateOld(D27:D30,G27:G30,L27:L30,O27:O30)</f>
        <v>#NAME?</v>
      </c>
      <c r="Z27" s="19"/>
      <c r="AA27" s="24"/>
      <c r="AB27" s="24"/>
      <c r="AC27" s="24"/>
      <c r="AD27" s="83"/>
      <c r="AE27" s="111">
        <v>49.921599999999998</v>
      </c>
      <c r="AF27" s="112">
        <v>48.4099</v>
      </c>
      <c r="AG27" s="120">
        <v>48.8444</v>
      </c>
      <c r="AI27" s="141"/>
      <c r="AJ27" s="141"/>
      <c r="AK27" s="141"/>
      <c r="AL27" s="141"/>
    </row>
    <row r="28" spans="1:38" ht="15" customHeight="1" x14ac:dyDescent="0.2">
      <c r="B28" s="48"/>
      <c r="C28" s="19">
        <v>27</v>
      </c>
      <c r="D28" s="24"/>
      <c r="E28" s="24"/>
      <c r="F28" s="24"/>
      <c r="G28" s="24"/>
      <c r="H28" s="101"/>
      <c r="I28" s="102"/>
      <c r="J28" s="85" t="e">
        <f t="shared" ca="1" si="0"/>
        <v>#NAME?</v>
      </c>
      <c r="K28" s="19"/>
      <c r="L28" s="111"/>
      <c r="M28" s="112"/>
      <c r="N28" s="112"/>
      <c r="O28" s="112"/>
      <c r="P28" s="112"/>
      <c r="Q28" s="120"/>
      <c r="R28" s="85" t="e">
        <f t="shared" ca="1" si="1"/>
        <v>#NAME?</v>
      </c>
      <c r="S28" s="83"/>
      <c r="T28" s="90"/>
      <c r="U28" s="91"/>
      <c r="V28" s="91"/>
      <c r="W28" s="91"/>
      <c r="X28" s="91"/>
      <c r="Y28" s="91"/>
      <c r="Z28" s="19"/>
      <c r="AA28" s="24"/>
      <c r="AB28" s="24"/>
      <c r="AC28" s="24"/>
      <c r="AD28" s="83"/>
      <c r="AE28" s="111">
        <v>46.4129</v>
      </c>
      <c r="AF28" s="112">
        <v>44.742400000000004</v>
      </c>
      <c r="AG28" s="120">
        <v>45.301600000000001</v>
      </c>
      <c r="AI28" s="141"/>
      <c r="AJ28" s="141"/>
      <c r="AK28" s="141"/>
      <c r="AL28" s="141"/>
    </row>
    <row r="29" spans="1:38" ht="15" customHeight="1" x14ac:dyDescent="0.2">
      <c r="B29" s="48"/>
      <c r="C29" s="19">
        <v>32</v>
      </c>
      <c r="D29" s="24"/>
      <c r="E29" s="24"/>
      <c r="F29" s="24"/>
      <c r="G29" s="24"/>
      <c r="H29" s="101"/>
      <c r="I29" s="102"/>
      <c r="J29" s="85" t="e">
        <f t="shared" ca="1" si="0"/>
        <v>#NAME?</v>
      </c>
      <c r="K29" s="19"/>
      <c r="L29" s="111"/>
      <c r="M29" s="112"/>
      <c r="N29" s="112"/>
      <c r="O29" s="112"/>
      <c r="P29" s="112"/>
      <c r="Q29" s="120"/>
      <c r="R29" s="85" t="e">
        <f t="shared" ca="1" si="1"/>
        <v>#NAME?</v>
      </c>
      <c r="S29" s="83"/>
      <c r="T29" s="90"/>
      <c r="U29" s="91"/>
      <c r="V29" s="91"/>
      <c r="W29" s="91"/>
      <c r="X29" s="91"/>
      <c r="Y29" s="91"/>
      <c r="Z29" s="19"/>
      <c r="AA29" s="24"/>
      <c r="AB29" s="24"/>
      <c r="AC29" s="24"/>
      <c r="AD29" s="83"/>
      <c r="AE29" s="111">
        <v>42.720799999999997</v>
      </c>
      <c r="AF29" s="112">
        <v>40.845999999999997</v>
      </c>
      <c r="AG29" s="120">
        <v>41.495899999999999</v>
      </c>
      <c r="AI29" s="141"/>
      <c r="AJ29" s="141"/>
      <c r="AK29" s="141"/>
      <c r="AL29" s="141"/>
    </row>
    <row r="30" spans="1:38" ht="15" customHeight="1" thickBot="1" x14ac:dyDescent="0.25">
      <c r="B30" s="78"/>
      <c r="C30" s="20">
        <v>37</v>
      </c>
      <c r="D30" s="33"/>
      <c r="E30" s="33"/>
      <c r="F30" s="33"/>
      <c r="G30" s="33"/>
      <c r="H30" s="107"/>
      <c r="I30" s="108"/>
      <c r="J30" s="87" t="e">
        <f t="shared" ca="1" si="0"/>
        <v>#NAME?</v>
      </c>
      <c r="K30" s="19"/>
      <c r="L30" s="117"/>
      <c r="M30" s="118"/>
      <c r="N30" s="118"/>
      <c r="O30" s="118"/>
      <c r="P30" s="118"/>
      <c r="Q30" s="124"/>
      <c r="R30" s="87" t="e">
        <f t="shared" ca="1" si="1"/>
        <v>#NAME?</v>
      </c>
      <c r="S30" s="83"/>
      <c r="T30" s="96"/>
      <c r="U30" s="97"/>
      <c r="V30" s="97"/>
      <c r="W30" s="97"/>
      <c r="X30" s="97"/>
      <c r="Y30" s="97"/>
      <c r="Z30" s="19"/>
      <c r="AA30" s="33"/>
      <c r="AB30" s="33"/>
      <c r="AC30" s="33"/>
      <c r="AD30" s="83"/>
      <c r="AE30" s="117">
        <v>38.898499999999999</v>
      </c>
      <c r="AF30" s="118">
        <v>36.819499999999998</v>
      </c>
      <c r="AG30" s="124">
        <v>37.578800000000001</v>
      </c>
      <c r="AI30" s="141"/>
      <c r="AJ30" s="141"/>
      <c r="AK30" s="141"/>
      <c r="AL30" s="141"/>
    </row>
    <row r="31" spans="1:38" ht="15" customHeight="1" x14ac:dyDescent="0.25">
      <c r="A31" s="54" t="s">
        <v>23</v>
      </c>
      <c r="B31" s="34" t="s">
        <v>45</v>
      </c>
      <c r="C31" s="18">
        <v>22</v>
      </c>
      <c r="D31" s="43"/>
      <c r="E31" s="43"/>
      <c r="F31" s="43"/>
      <c r="G31" s="43"/>
      <c r="H31" s="99"/>
      <c r="I31" s="100"/>
      <c r="J31" s="85" t="e">
        <f t="shared" ca="1" si="0"/>
        <v>#NAME?</v>
      </c>
      <c r="K31" s="19"/>
      <c r="L31" s="111"/>
      <c r="M31" s="112"/>
      <c r="N31" s="112"/>
      <c r="O31" s="112"/>
      <c r="P31" s="112"/>
      <c r="Q31" s="120"/>
      <c r="R31" s="85" t="e">
        <f t="shared" ca="1" si="1"/>
        <v>#NAME?</v>
      </c>
      <c r="S31" s="83"/>
      <c r="T31" s="90" t="e">
        <f ca="1">bdrate(D31:D34,E31:E34,L31:L34,M31:M34)</f>
        <v>#NAME?</v>
      </c>
      <c r="U31" s="91" t="e">
        <f ca="1">bdrate(D31:D34,F31:F34,L31:L34,N31:N34)</f>
        <v>#NAME?</v>
      </c>
      <c r="V31" s="91" t="e">
        <f ca="1">bdrate(D31:D34,G31:G34,L31:L34,O31:O34)</f>
        <v>#NAME?</v>
      </c>
      <c r="W31" s="91" t="e">
        <f ca="1">bdrateOld(D31:D34,E31:E34,L31:L34,M31:M34)</f>
        <v>#NAME?</v>
      </c>
      <c r="X31" s="91" t="e">
        <f ca="1">bdrateOld(D31:D34,F31:F34,L31:L34,N31:N34)</f>
        <v>#NAME?</v>
      </c>
      <c r="Y31" s="91" t="e">
        <f ca="1">bdrateOld(D31:D34,G31:G34,L31:L34,O31:O34)</f>
        <v>#NAME?</v>
      </c>
      <c r="Z31" s="19"/>
      <c r="AA31" s="43"/>
      <c r="AB31" s="43"/>
      <c r="AC31" s="43"/>
      <c r="AD31" s="83"/>
      <c r="AE31" s="111">
        <v>47.417200000000001</v>
      </c>
      <c r="AF31" s="112">
        <v>45.4238</v>
      </c>
      <c r="AG31" s="120">
        <v>45.514499999999998</v>
      </c>
      <c r="AI31" s="141"/>
      <c r="AJ31" s="141"/>
      <c r="AK31" s="141"/>
      <c r="AL31" s="141"/>
    </row>
    <row r="32" spans="1:38" ht="15" customHeight="1" x14ac:dyDescent="0.2">
      <c r="B32" s="36"/>
      <c r="C32" s="19">
        <v>27</v>
      </c>
      <c r="D32" s="24"/>
      <c r="E32" s="24"/>
      <c r="F32" s="24"/>
      <c r="G32" s="24"/>
      <c r="H32" s="101"/>
      <c r="I32" s="102"/>
      <c r="J32" s="85" t="e">
        <f t="shared" ca="1" si="0"/>
        <v>#NAME?</v>
      </c>
      <c r="K32" s="19"/>
      <c r="L32" s="111"/>
      <c r="M32" s="112"/>
      <c r="N32" s="112"/>
      <c r="O32" s="112"/>
      <c r="P32" s="112"/>
      <c r="Q32" s="120"/>
      <c r="R32" s="85" t="e">
        <f t="shared" ca="1" si="1"/>
        <v>#NAME?</v>
      </c>
      <c r="S32" s="83"/>
      <c r="T32" s="90"/>
      <c r="U32" s="91"/>
      <c r="V32" s="91"/>
      <c r="W32" s="91"/>
      <c r="X32" s="91"/>
      <c r="Y32" s="91"/>
      <c r="Z32" s="19"/>
      <c r="AA32" s="24"/>
      <c r="AB32" s="24"/>
      <c r="AC32" s="24"/>
      <c r="AD32" s="83"/>
      <c r="AE32" s="111">
        <v>44.008499999999998</v>
      </c>
      <c r="AF32" s="112">
        <v>42.037300000000002</v>
      </c>
      <c r="AG32" s="120">
        <v>41.990400000000001</v>
      </c>
      <c r="AI32" s="141"/>
      <c r="AJ32" s="141"/>
      <c r="AK32" s="141"/>
      <c r="AL32" s="141"/>
    </row>
    <row r="33" spans="1:38" ht="15" customHeight="1" x14ac:dyDescent="0.2">
      <c r="B33" s="36"/>
      <c r="C33" s="19">
        <v>32</v>
      </c>
      <c r="D33" s="24"/>
      <c r="E33" s="24"/>
      <c r="F33" s="24"/>
      <c r="G33" s="24"/>
      <c r="H33" s="101"/>
      <c r="I33" s="102"/>
      <c r="J33" s="85" t="e">
        <f t="shared" ca="1" si="0"/>
        <v>#NAME?</v>
      </c>
      <c r="K33" s="19"/>
      <c r="L33" s="111"/>
      <c r="M33" s="112"/>
      <c r="N33" s="112"/>
      <c r="O33" s="112"/>
      <c r="P33" s="112"/>
      <c r="Q33" s="120"/>
      <c r="R33" s="85" t="e">
        <f t="shared" ca="1" si="1"/>
        <v>#NAME?</v>
      </c>
      <c r="S33" s="83"/>
      <c r="T33" s="90"/>
      <c r="U33" s="91"/>
      <c r="V33" s="91"/>
      <c r="W33" s="91"/>
      <c r="X33" s="91"/>
      <c r="Y33" s="91"/>
      <c r="Z33" s="19"/>
      <c r="AA33" s="24"/>
      <c r="AB33" s="24"/>
      <c r="AC33" s="24"/>
      <c r="AD33" s="83"/>
      <c r="AE33" s="111">
        <v>40.553100000000001</v>
      </c>
      <c r="AF33" s="112">
        <v>38.4587</v>
      </c>
      <c r="AG33" s="120">
        <v>38.3718</v>
      </c>
      <c r="AI33" s="141"/>
      <c r="AJ33" s="141"/>
      <c r="AK33" s="141"/>
      <c r="AL33" s="141"/>
    </row>
    <row r="34" spans="1:38" ht="15" customHeight="1" x14ac:dyDescent="0.2">
      <c r="B34" s="36"/>
      <c r="C34" s="60">
        <v>37</v>
      </c>
      <c r="D34" s="25"/>
      <c r="E34" s="25"/>
      <c r="F34" s="25"/>
      <c r="G34" s="25"/>
      <c r="H34" s="103"/>
      <c r="I34" s="104"/>
      <c r="J34" s="86" t="e">
        <f t="shared" ca="1" si="0"/>
        <v>#NAME?</v>
      </c>
      <c r="K34" s="19"/>
      <c r="L34" s="113"/>
      <c r="M34" s="114"/>
      <c r="N34" s="114"/>
      <c r="O34" s="114"/>
      <c r="P34" s="114"/>
      <c r="Q34" s="121"/>
      <c r="R34" s="86" t="e">
        <f t="shared" ca="1" si="1"/>
        <v>#NAME?</v>
      </c>
      <c r="S34" s="83"/>
      <c r="T34" s="92"/>
      <c r="U34" s="93"/>
      <c r="V34" s="93"/>
      <c r="W34" s="93"/>
      <c r="X34" s="93"/>
      <c r="Y34" s="93"/>
      <c r="Z34" s="19"/>
      <c r="AA34" s="25"/>
      <c r="AB34" s="25"/>
      <c r="AC34" s="25"/>
      <c r="AD34" s="83"/>
      <c r="AE34" s="113">
        <v>36.953000000000003</v>
      </c>
      <c r="AF34" s="114">
        <v>34.7577</v>
      </c>
      <c r="AG34" s="121">
        <v>34.540199999999999</v>
      </c>
      <c r="AI34" s="141"/>
      <c r="AJ34" s="141"/>
      <c r="AK34" s="141"/>
      <c r="AL34" s="141"/>
    </row>
    <row r="35" spans="1:38" ht="15" customHeight="1" x14ac:dyDescent="0.2">
      <c r="B35" s="37" t="s">
        <v>46</v>
      </c>
      <c r="C35" s="19">
        <v>22</v>
      </c>
      <c r="D35" s="24"/>
      <c r="E35" s="24"/>
      <c r="F35" s="24"/>
      <c r="G35" s="24"/>
      <c r="H35" s="101"/>
      <c r="I35" s="102"/>
      <c r="J35" s="85" t="e">
        <f t="shared" ca="1" si="0"/>
        <v>#NAME?</v>
      </c>
      <c r="K35" s="19"/>
      <c r="L35" s="111"/>
      <c r="M35" s="112"/>
      <c r="N35" s="112"/>
      <c r="O35" s="112"/>
      <c r="P35" s="112"/>
      <c r="Q35" s="120"/>
      <c r="R35" s="85" t="e">
        <f t="shared" ca="1" si="1"/>
        <v>#NAME?</v>
      </c>
      <c r="S35" s="83"/>
      <c r="T35" s="90" t="e">
        <f ca="1">bdrate(D35:D38,E35:E38,L35:L38,M35:M38)</f>
        <v>#NAME?</v>
      </c>
      <c r="U35" s="91" t="e">
        <f ca="1">bdrate(D35:D38,F35:F38,L35:L38,N35:N38)</f>
        <v>#NAME?</v>
      </c>
      <c r="V35" s="91" t="e">
        <f ca="1">bdrate(D35:D38,G35:G38,L35:L38,O35:O38)</f>
        <v>#NAME?</v>
      </c>
      <c r="W35" s="91" t="e">
        <f ca="1">bdrateOld(D35:D38,E35:E38,L35:L38,M35:M38)</f>
        <v>#NAME?</v>
      </c>
      <c r="X35" s="91" t="e">
        <f ca="1">bdrateOld(D35:D38,F35:F38,L35:L38,N35:N38)</f>
        <v>#NAME?</v>
      </c>
      <c r="Y35" s="91" t="e">
        <f ca="1">bdrateOld(D35:D38,G35:G38,L35:L38,O35:O38)</f>
        <v>#NAME?</v>
      </c>
      <c r="Z35" s="19"/>
      <c r="AA35" s="24"/>
      <c r="AB35" s="24"/>
      <c r="AC35" s="24"/>
      <c r="AD35" s="83"/>
      <c r="AE35" s="111">
        <v>46.210099999999997</v>
      </c>
      <c r="AF35" s="112">
        <v>45.058599999999998</v>
      </c>
      <c r="AG35" s="120">
        <v>45.114100000000001</v>
      </c>
      <c r="AI35" s="141"/>
      <c r="AJ35" s="141"/>
      <c r="AK35" s="141"/>
      <c r="AL35" s="141"/>
    </row>
    <row r="36" spans="1:38" ht="15" customHeight="1" x14ac:dyDescent="0.2">
      <c r="B36" s="36"/>
      <c r="C36" s="19">
        <v>27</v>
      </c>
      <c r="D36" s="24"/>
      <c r="E36" s="24"/>
      <c r="F36" s="24"/>
      <c r="G36" s="24"/>
      <c r="H36" s="101"/>
      <c r="I36" s="102"/>
      <c r="J36" s="85" t="e">
        <f t="shared" ca="1" si="0"/>
        <v>#NAME?</v>
      </c>
      <c r="K36" s="19"/>
      <c r="L36" s="111"/>
      <c r="M36" s="112"/>
      <c r="N36" s="112"/>
      <c r="O36" s="112"/>
      <c r="P36" s="112"/>
      <c r="Q36" s="120"/>
      <c r="R36" s="85" t="e">
        <f t="shared" ca="1" si="1"/>
        <v>#NAME?</v>
      </c>
      <c r="S36" s="83"/>
      <c r="T36" s="90"/>
      <c r="U36" s="91"/>
      <c r="V36" s="91"/>
      <c r="W36" s="91"/>
      <c r="X36" s="91"/>
      <c r="Y36" s="91"/>
      <c r="Z36" s="19"/>
      <c r="AA36" s="24"/>
      <c r="AB36" s="24"/>
      <c r="AC36" s="24"/>
      <c r="AD36" s="83"/>
      <c r="AE36" s="111">
        <v>43.049100000000003</v>
      </c>
      <c r="AF36" s="112">
        <v>41.973799999999997</v>
      </c>
      <c r="AG36" s="120">
        <v>41.856299999999997</v>
      </c>
      <c r="AI36" s="141"/>
      <c r="AJ36" s="141"/>
      <c r="AK36" s="141"/>
      <c r="AL36" s="141"/>
    </row>
    <row r="37" spans="1:38" ht="15" customHeight="1" x14ac:dyDescent="0.2">
      <c r="B37" s="36"/>
      <c r="C37" s="19">
        <v>32</v>
      </c>
      <c r="D37" s="24"/>
      <c r="E37" s="24"/>
      <c r="F37" s="24"/>
      <c r="G37" s="24"/>
      <c r="H37" s="101"/>
      <c r="I37" s="102"/>
      <c r="J37" s="85" t="e">
        <f t="shared" ca="1" si="0"/>
        <v>#NAME?</v>
      </c>
      <c r="K37" s="19"/>
      <c r="L37" s="111"/>
      <c r="M37" s="112"/>
      <c r="N37" s="112"/>
      <c r="O37" s="112"/>
      <c r="P37" s="112"/>
      <c r="Q37" s="120"/>
      <c r="R37" s="85" t="e">
        <f t="shared" ca="1" si="1"/>
        <v>#NAME?</v>
      </c>
      <c r="S37" s="83"/>
      <c r="T37" s="90"/>
      <c r="U37" s="91"/>
      <c r="V37" s="91"/>
      <c r="W37" s="91"/>
      <c r="X37" s="91"/>
      <c r="Y37" s="91"/>
      <c r="Z37" s="19"/>
      <c r="AA37" s="24"/>
      <c r="AB37" s="24"/>
      <c r="AC37" s="24"/>
      <c r="AD37" s="83"/>
      <c r="AE37" s="111">
        <v>39.487400000000001</v>
      </c>
      <c r="AF37" s="112">
        <v>38.308700000000002</v>
      </c>
      <c r="AG37" s="120">
        <v>38.065600000000003</v>
      </c>
      <c r="AI37" s="141"/>
      <c r="AJ37" s="141"/>
      <c r="AK37" s="141"/>
      <c r="AL37" s="141"/>
    </row>
    <row r="38" spans="1:38" ht="15" customHeight="1" thickBot="1" x14ac:dyDescent="0.25">
      <c r="B38" s="42"/>
      <c r="C38" s="20">
        <v>37</v>
      </c>
      <c r="D38" s="33"/>
      <c r="E38" s="33"/>
      <c r="F38" s="33"/>
      <c r="G38" s="33"/>
      <c r="H38" s="107"/>
      <c r="I38" s="108"/>
      <c r="J38" s="87" t="e">
        <f t="shared" ca="1" si="0"/>
        <v>#NAME?</v>
      </c>
      <c r="K38" s="19"/>
      <c r="L38" s="117"/>
      <c r="M38" s="118"/>
      <c r="N38" s="118"/>
      <c r="O38" s="118"/>
      <c r="P38" s="118"/>
      <c r="Q38" s="124"/>
      <c r="R38" s="87" t="e">
        <f t="shared" ca="1" si="1"/>
        <v>#NAME?</v>
      </c>
      <c r="S38" s="83"/>
      <c r="T38" s="96"/>
      <c r="U38" s="97"/>
      <c r="V38" s="97"/>
      <c r="W38" s="97"/>
      <c r="X38" s="97"/>
      <c r="Y38" s="97"/>
      <c r="Z38" s="19"/>
      <c r="AA38" s="33"/>
      <c r="AB38" s="33"/>
      <c r="AC38" s="33"/>
      <c r="AD38" s="83"/>
      <c r="AE38" s="117">
        <v>35.988100000000003</v>
      </c>
      <c r="AF38" s="118">
        <v>34.613100000000003</v>
      </c>
      <c r="AG38" s="124">
        <v>34.321899999999999</v>
      </c>
      <c r="AI38" s="141"/>
      <c r="AJ38" s="141"/>
      <c r="AK38" s="141"/>
      <c r="AL38" s="141"/>
    </row>
    <row r="39" spans="1:38" ht="15" customHeight="1" x14ac:dyDescent="0.25">
      <c r="A39" s="54" t="s">
        <v>24</v>
      </c>
      <c r="B39" s="34" t="s">
        <v>47</v>
      </c>
      <c r="C39" s="18">
        <v>22</v>
      </c>
      <c r="D39" s="43"/>
      <c r="E39" s="43"/>
      <c r="F39" s="43"/>
      <c r="G39" s="43"/>
      <c r="H39" s="99"/>
      <c r="I39" s="100"/>
      <c r="J39" s="85" t="e">
        <f t="shared" ca="1" si="0"/>
        <v>#NAME?</v>
      </c>
      <c r="K39" s="19"/>
      <c r="L39" s="111"/>
      <c r="M39" s="112"/>
      <c r="N39" s="112"/>
      <c r="O39" s="112"/>
      <c r="P39" s="112"/>
      <c r="Q39" s="120"/>
      <c r="R39" s="85" t="e">
        <f t="shared" ca="1" si="1"/>
        <v>#NAME?</v>
      </c>
      <c r="S39" s="83"/>
      <c r="T39" s="90" t="e">
        <f ca="1">bdrate(D39:D42,E39:E42,L39:L42,M39:M42)</f>
        <v>#NAME?</v>
      </c>
      <c r="U39" s="91" t="e">
        <f ca="1">bdrate(D39:D42,F39:F42,L39:L42,N39:N42)</f>
        <v>#NAME?</v>
      </c>
      <c r="V39" s="91" t="e">
        <f ca="1">bdrate(D39:D42,G39:G42,L39:L42,O39:O42)</f>
        <v>#NAME?</v>
      </c>
      <c r="W39" s="91" t="e">
        <f ca="1">bdrateOld(D39:D42,E39:E42,L39:L42,M39:M42)</f>
        <v>#NAME?</v>
      </c>
      <c r="X39" s="91" t="e">
        <f ca="1">bdrateOld(D39:D42,F39:F42,L39:L42,N39:N42)</f>
        <v>#NAME?</v>
      </c>
      <c r="Y39" s="91" t="e">
        <f ca="1">bdrateOld(D39:D42,G39:G42,L39:L42,O39:O42)</f>
        <v>#NAME?</v>
      </c>
      <c r="Z39" s="19"/>
      <c r="AA39" s="43"/>
      <c r="AB39" s="43"/>
      <c r="AC39" s="43"/>
      <c r="AD39" s="83"/>
      <c r="AE39" s="111">
        <v>47.465600000000002</v>
      </c>
      <c r="AF39" s="112">
        <v>46.078299999999999</v>
      </c>
      <c r="AG39" s="120">
        <v>46.066499999999998</v>
      </c>
      <c r="AI39" s="141"/>
      <c r="AJ39" s="141"/>
      <c r="AK39" s="141"/>
      <c r="AL39" s="141"/>
    </row>
    <row r="40" spans="1:38" ht="15" customHeight="1" x14ac:dyDescent="0.2">
      <c r="B40" s="36"/>
      <c r="C40" s="19">
        <v>27</v>
      </c>
      <c r="D40" s="24"/>
      <c r="E40" s="24"/>
      <c r="F40" s="24"/>
      <c r="G40" s="24"/>
      <c r="H40" s="101"/>
      <c r="I40" s="102"/>
      <c r="J40" s="85" t="e">
        <f t="shared" ca="1" si="0"/>
        <v>#NAME?</v>
      </c>
      <c r="K40" s="19"/>
      <c r="L40" s="111"/>
      <c r="M40" s="112"/>
      <c r="N40" s="112"/>
      <c r="O40" s="112"/>
      <c r="P40" s="112"/>
      <c r="Q40" s="120"/>
      <c r="R40" s="85" t="e">
        <f t="shared" ca="1" si="1"/>
        <v>#NAME?</v>
      </c>
      <c r="S40" s="83"/>
      <c r="T40" s="90"/>
      <c r="U40" s="91"/>
      <c r="V40" s="91"/>
      <c r="W40" s="91"/>
      <c r="X40" s="91"/>
      <c r="Y40" s="91"/>
      <c r="Z40" s="19"/>
      <c r="AA40" s="24"/>
      <c r="AB40" s="24"/>
      <c r="AC40" s="24"/>
      <c r="AD40" s="83"/>
      <c r="AE40" s="111">
        <v>43.918100000000003</v>
      </c>
      <c r="AF40" s="112">
        <v>42.491999999999997</v>
      </c>
      <c r="AG40" s="120">
        <v>42.377800000000001</v>
      </c>
      <c r="AI40" s="141"/>
      <c r="AJ40" s="141"/>
      <c r="AK40" s="141"/>
      <c r="AL40" s="141"/>
    </row>
    <row r="41" spans="1:38" ht="15" customHeight="1" x14ac:dyDescent="0.2">
      <c r="B41" s="36"/>
      <c r="C41" s="19">
        <v>32</v>
      </c>
      <c r="D41" s="24"/>
      <c r="E41" s="24"/>
      <c r="F41" s="24"/>
      <c r="G41" s="24"/>
      <c r="H41" s="101"/>
      <c r="I41" s="102"/>
      <c r="J41" s="85" t="e">
        <f t="shared" ca="1" si="0"/>
        <v>#NAME?</v>
      </c>
      <c r="K41" s="19"/>
      <c r="L41" s="111"/>
      <c r="M41" s="112"/>
      <c r="N41" s="112"/>
      <c r="O41" s="112"/>
      <c r="P41" s="112"/>
      <c r="Q41" s="120"/>
      <c r="R41" s="85" t="e">
        <f t="shared" ca="1" si="1"/>
        <v>#NAME?</v>
      </c>
      <c r="S41" s="83"/>
      <c r="T41" s="90"/>
      <c r="U41" s="91"/>
      <c r="V41" s="91"/>
      <c r="W41" s="91"/>
      <c r="X41" s="91"/>
      <c r="Y41" s="91"/>
      <c r="Z41" s="19"/>
      <c r="AA41" s="24"/>
      <c r="AB41" s="24"/>
      <c r="AC41" s="24"/>
      <c r="AD41" s="83"/>
      <c r="AE41" s="111">
        <v>40.007899999999999</v>
      </c>
      <c r="AF41" s="112">
        <v>38.498899999999999</v>
      </c>
      <c r="AG41" s="120">
        <v>38.293900000000001</v>
      </c>
      <c r="AI41" s="141"/>
      <c r="AJ41" s="141"/>
      <c r="AK41" s="141"/>
      <c r="AL41" s="141"/>
    </row>
    <row r="42" spans="1:38" ht="15" customHeight="1" thickBot="1" x14ac:dyDescent="0.25">
      <c r="B42" s="35"/>
      <c r="C42" s="19">
        <v>37</v>
      </c>
      <c r="D42" s="24"/>
      <c r="E42" s="24"/>
      <c r="F42" s="24"/>
      <c r="G42" s="24"/>
      <c r="H42" s="101"/>
      <c r="I42" s="102"/>
      <c r="J42" s="87" t="e">
        <f t="shared" ca="1" si="0"/>
        <v>#NAME?</v>
      </c>
      <c r="K42" s="19"/>
      <c r="L42" s="117"/>
      <c r="M42" s="118"/>
      <c r="N42" s="118"/>
      <c r="O42" s="118"/>
      <c r="P42" s="118"/>
      <c r="Q42" s="124"/>
      <c r="R42" s="87" t="e">
        <f t="shared" ca="1" si="1"/>
        <v>#NAME?</v>
      </c>
      <c r="S42" s="83"/>
      <c r="T42" s="96"/>
      <c r="U42" s="97"/>
      <c r="V42" s="97"/>
      <c r="W42" s="97"/>
      <c r="X42" s="97"/>
      <c r="Y42" s="97"/>
      <c r="Z42" s="19"/>
      <c r="AA42" s="24"/>
      <c r="AB42" s="24"/>
      <c r="AC42" s="24"/>
      <c r="AD42" s="83"/>
      <c r="AE42" s="117">
        <v>35.948399999999999</v>
      </c>
      <c r="AF42" s="118">
        <v>34.258600000000001</v>
      </c>
      <c r="AG42" s="124">
        <v>33.8917</v>
      </c>
      <c r="AI42" s="141"/>
      <c r="AJ42" s="141"/>
      <c r="AK42" s="141"/>
      <c r="AL42" s="141"/>
    </row>
    <row r="43" spans="1:38" ht="15" customHeight="1" x14ac:dyDescent="0.25">
      <c r="A43" s="54" t="s">
        <v>25</v>
      </c>
      <c r="B43" s="34" t="s">
        <v>48</v>
      </c>
      <c r="C43" s="18">
        <v>22</v>
      </c>
      <c r="D43" s="43"/>
      <c r="E43" s="43"/>
      <c r="F43" s="43"/>
      <c r="G43" s="43"/>
      <c r="H43" s="99"/>
      <c r="I43" s="100"/>
      <c r="J43" s="85" t="e">
        <f t="shared" ca="1" si="0"/>
        <v>#NAME?</v>
      </c>
      <c r="K43" s="19"/>
      <c r="L43" s="111"/>
      <c r="M43" s="112"/>
      <c r="N43" s="112"/>
      <c r="O43" s="112"/>
      <c r="P43" s="112"/>
      <c r="Q43" s="120"/>
      <c r="R43" s="85" t="e">
        <f t="shared" ca="1" si="1"/>
        <v>#NAME?</v>
      </c>
      <c r="S43" s="83"/>
      <c r="T43" s="90" t="e">
        <f ca="1">bdrate(D43:D46,E43:E46,L43:L46,M43:M46)</f>
        <v>#NAME?</v>
      </c>
      <c r="U43" s="91" t="e">
        <f ca="1">bdrate(D43:D46,F43:F46,L43:L46,N43:N46)</f>
        <v>#NAME?</v>
      </c>
      <c r="V43" s="91" t="e">
        <f ca="1">bdrate(D43:D46,G43:G46,L43:L46,O43:O46)</f>
        <v>#NAME?</v>
      </c>
      <c r="W43" s="91" t="e">
        <f ca="1">bdrateOld(D43:D46,E43:E46,L43:L46,M43:M46)</f>
        <v>#NAME?</v>
      </c>
      <c r="X43" s="91" t="e">
        <f ca="1">bdrateOld(D43:D46,F43:F46,L43:L46,N43:N46)</f>
        <v>#NAME?</v>
      </c>
      <c r="Y43" s="91" t="e">
        <f ca="1">bdrateOld(D43:D46,G43:G46,L43:L46,O43:O46)</f>
        <v>#NAME?</v>
      </c>
      <c r="Z43" s="19"/>
      <c r="AA43" s="43"/>
      <c r="AB43" s="43"/>
      <c r="AC43" s="43"/>
      <c r="AD43" s="83"/>
      <c r="AE43" s="111">
        <v>41.208399999999997</v>
      </c>
      <c r="AF43" s="112">
        <v>41.188499999999998</v>
      </c>
      <c r="AG43" s="120">
        <v>40.203000000000003</v>
      </c>
      <c r="AI43" s="141"/>
      <c r="AJ43" s="141"/>
      <c r="AK43" s="141"/>
      <c r="AL43" s="141"/>
    </row>
    <row r="44" spans="1:38" ht="15" customHeight="1" x14ac:dyDescent="0.2">
      <c r="B44" s="48"/>
      <c r="C44" s="19">
        <v>27</v>
      </c>
      <c r="D44" s="24"/>
      <c r="E44" s="24"/>
      <c r="F44" s="24"/>
      <c r="G44" s="24"/>
      <c r="H44" s="101"/>
      <c r="I44" s="102"/>
      <c r="J44" s="85" t="e">
        <f t="shared" ca="1" si="0"/>
        <v>#NAME?</v>
      </c>
      <c r="K44" s="19"/>
      <c r="L44" s="111"/>
      <c r="M44" s="112"/>
      <c r="N44" s="112"/>
      <c r="O44" s="112"/>
      <c r="P44" s="112"/>
      <c r="Q44" s="120"/>
      <c r="R44" s="85" t="e">
        <f t="shared" ca="1" si="1"/>
        <v>#NAME?</v>
      </c>
      <c r="S44" s="83"/>
      <c r="T44" s="90"/>
      <c r="U44" s="91"/>
      <c r="V44" s="91"/>
      <c r="W44" s="91"/>
      <c r="X44" s="91"/>
      <c r="Y44" s="91"/>
      <c r="Z44" s="19"/>
      <c r="AA44" s="24"/>
      <c r="AB44" s="24"/>
      <c r="AC44" s="24"/>
      <c r="AD44" s="83"/>
      <c r="AE44" s="111">
        <v>37.429699999999997</v>
      </c>
      <c r="AF44" s="112">
        <v>37.683</v>
      </c>
      <c r="AG44" s="120">
        <v>36.572899999999997</v>
      </c>
      <c r="AI44" s="141"/>
      <c r="AJ44" s="141"/>
      <c r="AK44" s="141"/>
      <c r="AL44" s="141"/>
    </row>
    <row r="45" spans="1:38" ht="15" customHeight="1" x14ac:dyDescent="0.2">
      <c r="B45" s="36"/>
      <c r="C45" s="19">
        <v>32</v>
      </c>
      <c r="D45" s="24"/>
      <c r="E45" s="24"/>
      <c r="F45" s="24"/>
      <c r="G45" s="24"/>
      <c r="H45" s="101"/>
      <c r="I45" s="102"/>
      <c r="J45" s="85" t="e">
        <f t="shared" ca="1" si="0"/>
        <v>#NAME?</v>
      </c>
      <c r="K45" s="19"/>
      <c r="L45" s="111"/>
      <c r="M45" s="112"/>
      <c r="N45" s="112"/>
      <c r="O45" s="112"/>
      <c r="P45" s="112"/>
      <c r="Q45" s="120"/>
      <c r="R45" s="85" t="e">
        <f t="shared" ca="1" si="1"/>
        <v>#NAME?</v>
      </c>
      <c r="S45" s="83"/>
      <c r="T45" s="90"/>
      <c r="U45" s="91"/>
      <c r="V45" s="91"/>
      <c r="W45" s="91"/>
      <c r="X45" s="91"/>
      <c r="Y45" s="91"/>
      <c r="Z45" s="19"/>
      <c r="AA45" s="24"/>
      <c r="AB45" s="24"/>
      <c r="AC45" s="24"/>
      <c r="AD45" s="83"/>
      <c r="AE45" s="111">
        <v>34.218800000000002</v>
      </c>
      <c r="AF45" s="112">
        <v>34.519599999999997</v>
      </c>
      <c r="AG45" s="120">
        <v>33.342599999999997</v>
      </c>
      <c r="AI45" s="141"/>
      <c r="AJ45" s="141"/>
      <c r="AK45" s="141"/>
      <c r="AL45" s="141"/>
    </row>
    <row r="46" spans="1:38" ht="15" customHeight="1" thickBot="1" x14ac:dyDescent="0.25">
      <c r="B46" s="42"/>
      <c r="C46" s="20">
        <v>37</v>
      </c>
      <c r="D46" s="33"/>
      <c r="E46" s="33"/>
      <c r="F46" s="33"/>
      <c r="G46" s="33"/>
      <c r="H46" s="107"/>
      <c r="I46" s="108"/>
      <c r="J46" s="87" t="e">
        <f t="shared" ca="1" si="0"/>
        <v>#NAME?</v>
      </c>
      <c r="K46" s="19"/>
      <c r="L46" s="117"/>
      <c r="M46" s="118"/>
      <c r="N46" s="118"/>
      <c r="O46" s="118"/>
      <c r="P46" s="118"/>
      <c r="Q46" s="124"/>
      <c r="R46" s="87" t="e">
        <f t="shared" ca="1" si="1"/>
        <v>#NAME?</v>
      </c>
      <c r="S46" s="83"/>
      <c r="T46" s="96"/>
      <c r="U46" s="97"/>
      <c r="V46" s="97"/>
      <c r="W46" s="97"/>
      <c r="X46" s="97"/>
      <c r="Y46" s="97"/>
      <c r="Z46" s="19"/>
      <c r="AA46" s="33"/>
      <c r="AB46" s="33"/>
      <c r="AC46" s="33"/>
      <c r="AD46" s="83"/>
      <c r="AE46" s="117">
        <v>31.808199999999999</v>
      </c>
      <c r="AF46" s="118">
        <v>31.912199999999999</v>
      </c>
      <c r="AG46" s="124">
        <v>30.670999999999999</v>
      </c>
      <c r="AI46" s="141"/>
      <c r="AJ46" s="141"/>
      <c r="AK46" s="141"/>
      <c r="AL46" s="141"/>
    </row>
    <row r="47" spans="1:38" ht="15" customHeight="1" x14ac:dyDescent="0.25">
      <c r="A47" s="54" t="s">
        <v>35</v>
      </c>
      <c r="B47" s="34" t="s">
        <v>32</v>
      </c>
      <c r="C47" s="18">
        <v>22</v>
      </c>
      <c r="D47" s="43"/>
      <c r="E47" s="43"/>
      <c r="F47" s="43"/>
      <c r="G47" s="43"/>
      <c r="H47" s="99"/>
      <c r="I47" s="100"/>
      <c r="J47" s="85" t="e">
        <f t="shared" ca="1" si="0"/>
        <v>#NAME?</v>
      </c>
      <c r="K47" s="19"/>
      <c r="L47" s="111"/>
      <c r="M47" s="112"/>
      <c r="N47" s="112"/>
      <c r="O47" s="112"/>
      <c r="P47" s="112"/>
      <c r="Q47" s="120"/>
      <c r="R47" s="85" t="e">
        <f t="shared" ca="1" si="1"/>
        <v>#NAME?</v>
      </c>
      <c r="S47" s="83"/>
      <c r="T47" s="90" t="e">
        <f ca="1">bdrate(D47:D50,E47:E50,L47:L50,M47:M50)</f>
        <v>#NAME?</v>
      </c>
      <c r="U47" s="91" t="e">
        <f ca="1">bdrate(D47:D50,F47:F50,L47:L50,N47:N50)</f>
        <v>#NAME?</v>
      </c>
      <c r="V47" s="91" t="e">
        <f ca="1">bdrate(D47:D50,G47:G50,L47:L50,O47:O50)</f>
        <v>#NAME?</v>
      </c>
      <c r="W47" s="91" t="e">
        <f ca="1">bdrateOld(D47:D50,E47:E50,L47:L50,M47:M50)</f>
        <v>#NAME?</v>
      </c>
      <c r="X47" s="91" t="e">
        <f ca="1">bdrateOld(D47:D50,F47:F50,L47:L50,N47:N50)</f>
        <v>#NAME?</v>
      </c>
      <c r="Y47" s="91" t="e">
        <f ca="1">bdrateOld(D47:D50,G47:G50,L47:L50,O47:O50)</f>
        <v>#NAME?</v>
      </c>
      <c r="Z47" s="19"/>
      <c r="AA47" s="43"/>
      <c r="AB47" s="43"/>
      <c r="AC47" s="43"/>
      <c r="AD47" s="83"/>
      <c r="AE47" s="111">
        <v>42.962699999999998</v>
      </c>
      <c r="AF47" s="112">
        <v>39.946899999999999</v>
      </c>
      <c r="AG47" s="120">
        <v>43.120600000000003</v>
      </c>
      <c r="AI47" s="141"/>
      <c r="AJ47" s="141"/>
      <c r="AK47" s="141"/>
      <c r="AL47" s="141"/>
    </row>
    <row r="48" spans="1:38" ht="15" customHeight="1" x14ac:dyDescent="0.2">
      <c r="B48" s="36"/>
      <c r="C48" s="19">
        <v>27</v>
      </c>
      <c r="D48" s="24"/>
      <c r="E48" s="24"/>
      <c r="F48" s="24"/>
      <c r="G48" s="24"/>
      <c r="H48" s="101"/>
      <c r="I48" s="102"/>
      <c r="J48" s="85" t="e">
        <f t="shared" ca="1" si="0"/>
        <v>#NAME?</v>
      </c>
      <c r="K48" s="19"/>
      <c r="L48" s="111"/>
      <c r="M48" s="112"/>
      <c r="N48" s="112"/>
      <c r="O48" s="112"/>
      <c r="P48" s="112"/>
      <c r="Q48" s="120"/>
      <c r="R48" s="85" t="e">
        <f t="shared" ca="1" si="1"/>
        <v>#NAME?</v>
      </c>
      <c r="S48" s="83"/>
      <c r="T48" s="90"/>
      <c r="U48" s="91"/>
      <c r="V48" s="91"/>
      <c r="W48" s="91"/>
      <c r="X48" s="91"/>
      <c r="Y48" s="91"/>
      <c r="Z48" s="19"/>
      <c r="AA48" s="24"/>
      <c r="AB48" s="24"/>
      <c r="AC48" s="24"/>
      <c r="AD48" s="83"/>
      <c r="AE48" s="111">
        <v>39.8919</v>
      </c>
      <c r="AF48" s="112">
        <v>37.567700000000002</v>
      </c>
      <c r="AG48" s="120">
        <v>40.102200000000003</v>
      </c>
      <c r="AI48" s="141"/>
      <c r="AJ48" s="141"/>
      <c r="AK48" s="141"/>
      <c r="AL48" s="141"/>
    </row>
    <row r="49" spans="1:38" ht="15" customHeight="1" x14ac:dyDescent="0.2">
      <c r="B49" s="36"/>
      <c r="C49" s="19">
        <v>32</v>
      </c>
      <c r="D49" s="24"/>
      <c r="E49" s="24"/>
      <c r="F49" s="24"/>
      <c r="G49" s="24"/>
      <c r="H49" s="101"/>
      <c r="I49" s="102"/>
      <c r="J49" s="85" t="e">
        <f t="shared" ca="1" si="0"/>
        <v>#NAME?</v>
      </c>
      <c r="K49" s="19"/>
      <c r="L49" s="111"/>
      <c r="M49" s="112"/>
      <c r="N49" s="112"/>
      <c r="O49" s="112"/>
      <c r="P49" s="112"/>
      <c r="Q49" s="120"/>
      <c r="R49" s="85" t="e">
        <f t="shared" ca="1" si="1"/>
        <v>#NAME?</v>
      </c>
      <c r="S49" s="83"/>
      <c r="T49" s="90"/>
      <c r="U49" s="91"/>
      <c r="V49" s="91"/>
      <c r="W49" s="91"/>
      <c r="X49" s="91"/>
      <c r="Y49" s="91"/>
      <c r="Z49" s="19"/>
      <c r="AA49" s="24"/>
      <c r="AB49" s="24"/>
      <c r="AC49" s="24"/>
      <c r="AD49" s="83"/>
      <c r="AE49" s="111">
        <v>36.879600000000003</v>
      </c>
      <c r="AF49" s="112">
        <v>35.047800000000002</v>
      </c>
      <c r="AG49" s="120">
        <v>37.003</v>
      </c>
      <c r="AI49" s="141"/>
      <c r="AJ49" s="141"/>
      <c r="AK49" s="141"/>
      <c r="AL49" s="141"/>
    </row>
    <row r="50" spans="1:38" ht="15" customHeight="1" x14ac:dyDescent="0.2">
      <c r="B50" s="36"/>
      <c r="C50" s="60">
        <v>37</v>
      </c>
      <c r="D50" s="25"/>
      <c r="E50" s="25"/>
      <c r="F50" s="25"/>
      <c r="G50" s="25"/>
      <c r="H50" s="103"/>
      <c r="I50" s="104"/>
      <c r="J50" s="86" t="e">
        <f t="shared" ca="1" si="0"/>
        <v>#NAME?</v>
      </c>
      <c r="K50" s="19"/>
      <c r="L50" s="113"/>
      <c r="M50" s="114"/>
      <c r="N50" s="114"/>
      <c r="O50" s="114"/>
      <c r="P50" s="114"/>
      <c r="Q50" s="121"/>
      <c r="R50" s="86" t="e">
        <f t="shared" ca="1" si="1"/>
        <v>#NAME?</v>
      </c>
      <c r="S50" s="83"/>
      <c r="T50" s="92"/>
      <c r="U50" s="93"/>
      <c r="V50" s="93"/>
      <c r="W50" s="93"/>
      <c r="X50" s="93"/>
      <c r="Y50" s="93"/>
      <c r="Z50" s="19"/>
      <c r="AA50" s="25"/>
      <c r="AB50" s="25"/>
      <c r="AC50" s="25"/>
      <c r="AD50" s="83"/>
      <c r="AE50" s="113">
        <v>34.006700000000002</v>
      </c>
      <c r="AF50" s="114">
        <v>32.524000000000001</v>
      </c>
      <c r="AG50" s="121">
        <v>33.924100000000003</v>
      </c>
      <c r="AI50" s="141"/>
      <c r="AJ50" s="141"/>
      <c r="AK50" s="141"/>
      <c r="AL50" s="141"/>
    </row>
    <row r="51" spans="1:38" ht="15" customHeight="1" x14ac:dyDescent="0.2">
      <c r="B51" s="37" t="s">
        <v>33</v>
      </c>
      <c r="C51" s="19">
        <v>22</v>
      </c>
      <c r="D51" s="24"/>
      <c r="E51" s="24"/>
      <c r="F51" s="24"/>
      <c r="G51" s="24"/>
      <c r="H51" s="101"/>
      <c r="I51" s="102"/>
      <c r="J51" s="85" t="e">
        <f t="shared" ca="1" si="0"/>
        <v>#NAME?</v>
      </c>
      <c r="K51" s="19"/>
      <c r="L51" s="111"/>
      <c r="M51" s="112"/>
      <c r="N51" s="112"/>
      <c r="O51" s="112"/>
      <c r="P51" s="112"/>
      <c r="Q51" s="120"/>
      <c r="R51" s="85" t="e">
        <f t="shared" ca="1" si="1"/>
        <v>#NAME?</v>
      </c>
      <c r="S51" s="83"/>
      <c r="T51" s="90" t="e">
        <f ca="1">bdrate(D51:D54,E51:E54,L51:L54,M51:M54)</f>
        <v>#NAME?</v>
      </c>
      <c r="U51" s="91" t="e">
        <f ca="1">bdrate(D51:D54,F51:F54,L51:L54,N51:N54)</f>
        <v>#NAME?</v>
      </c>
      <c r="V51" s="91" t="e">
        <f ca="1">bdrate(D51:D54,G51:G54,L51:L54,O51:O54)</f>
        <v>#NAME?</v>
      </c>
      <c r="W51" s="91" t="e">
        <f ca="1">bdrateOld(D51:D54,E51:E54,L51:L54,M51:M54)</f>
        <v>#NAME?</v>
      </c>
      <c r="X51" s="91" t="e">
        <f ca="1">bdrateOld(D51:D54,F51:F54,L51:L54,N51:N54)</f>
        <v>#NAME?</v>
      </c>
      <c r="Y51" s="91" t="e">
        <f ca="1">bdrateOld(D51:D54,G51:G54,L51:L54,O51:O54)</f>
        <v>#NAME?</v>
      </c>
      <c r="Z51" s="19"/>
      <c r="AA51" s="24"/>
      <c r="AB51" s="24"/>
      <c r="AC51" s="24"/>
      <c r="AD51" s="83"/>
      <c r="AE51" s="111">
        <v>40.567700000000002</v>
      </c>
      <c r="AF51" s="112">
        <v>36.215200000000003</v>
      </c>
      <c r="AG51" s="120">
        <v>39.008899999999997</v>
      </c>
      <c r="AI51" s="141"/>
      <c r="AJ51" s="141"/>
      <c r="AK51" s="141"/>
      <c r="AL51" s="141"/>
    </row>
    <row r="52" spans="1:38" ht="15" customHeight="1" x14ac:dyDescent="0.2">
      <c r="B52" s="36"/>
      <c r="C52" s="19">
        <v>27</v>
      </c>
      <c r="D52" s="24"/>
      <c r="E52" s="24"/>
      <c r="F52" s="24"/>
      <c r="G52" s="24"/>
      <c r="H52" s="101"/>
      <c r="I52" s="102"/>
      <c r="J52" s="85" t="e">
        <f t="shared" ca="1" si="0"/>
        <v>#NAME?</v>
      </c>
      <c r="K52" s="19"/>
      <c r="L52" s="111"/>
      <c r="M52" s="112"/>
      <c r="N52" s="112"/>
      <c r="O52" s="112"/>
      <c r="P52" s="112"/>
      <c r="Q52" s="120"/>
      <c r="R52" s="85" t="e">
        <f t="shared" ca="1" si="1"/>
        <v>#NAME?</v>
      </c>
      <c r="S52" s="83"/>
      <c r="T52" s="90"/>
      <c r="U52" s="91"/>
      <c r="V52" s="91"/>
      <c r="W52" s="91"/>
      <c r="X52" s="91"/>
      <c r="Y52" s="91"/>
      <c r="Z52" s="19"/>
      <c r="AA52" s="24"/>
      <c r="AB52" s="24"/>
      <c r="AC52" s="24"/>
      <c r="AD52" s="83"/>
      <c r="AE52" s="111">
        <v>39.3367</v>
      </c>
      <c r="AF52" s="112">
        <v>32.708799999999997</v>
      </c>
      <c r="AG52" s="120">
        <v>37.500100000000003</v>
      </c>
      <c r="AI52" s="141"/>
      <c r="AJ52" s="141"/>
      <c r="AK52" s="141"/>
      <c r="AL52" s="141"/>
    </row>
    <row r="53" spans="1:38" ht="15" customHeight="1" x14ac:dyDescent="0.2">
      <c r="B53" s="36"/>
      <c r="C53" s="19">
        <v>32</v>
      </c>
      <c r="D53" s="24"/>
      <c r="E53" s="24"/>
      <c r="F53" s="24"/>
      <c r="G53" s="24"/>
      <c r="H53" s="101"/>
      <c r="I53" s="102"/>
      <c r="J53" s="85" t="e">
        <f t="shared" ca="1" si="0"/>
        <v>#NAME?</v>
      </c>
      <c r="K53" s="19"/>
      <c r="L53" s="111"/>
      <c r="M53" s="112"/>
      <c r="N53" s="112"/>
      <c r="O53" s="112"/>
      <c r="P53" s="112"/>
      <c r="Q53" s="120"/>
      <c r="R53" s="85" t="e">
        <f t="shared" ca="1" si="1"/>
        <v>#NAME?</v>
      </c>
      <c r="S53" s="83"/>
      <c r="T53" s="90"/>
      <c r="U53" s="91"/>
      <c r="V53" s="91"/>
      <c r="W53" s="91"/>
      <c r="X53" s="91"/>
      <c r="Y53" s="91"/>
      <c r="Z53" s="19"/>
      <c r="AA53" s="24"/>
      <c r="AB53" s="24"/>
      <c r="AC53" s="24"/>
      <c r="AD53" s="83"/>
      <c r="AE53" s="111">
        <v>37.571599999999997</v>
      </c>
      <c r="AF53" s="112">
        <v>31.8979</v>
      </c>
      <c r="AG53" s="120">
        <v>35.6158</v>
      </c>
      <c r="AI53" s="141"/>
      <c r="AJ53" s="141"/>
      <c r="AK53" s="141"/>
      <c r="AL53" s="141"/>
    </row>
    <row r="54" spans="1:38" ht="15" customHeight="1" thickBot="1" x14ac:dyDescent="0.25">
      <c r="B54" s="42"/>
      <c r="C54" s="20">
        <v>37</v>
      </c>
      <c r="D54" s="33"/>
      <c r="E54" s="33"/>
      <c r="F54" s="33"/>
      <c r="G54" s="33"/>
      <c r="H54" s="107"/>
      <c r="I54" s="108"/>
      <c r="J54" s="87" t="e">
        <f t="shared" ca="1" si="0"/>
        <v>#NAME?</v>
      </c>
      <c r="K54" s="19"/>
      <c r="L54" s="117"/>
      <c r="M54" s="118"/>
      <c r="N54" s="118"/>
      <c r="O54" s="118"/>
      <c r="P54" s="118"/>
      <c r="Q54" s="124"/>
      <c r="R54" s="87" t="e">
        <f t="shared" ca="1" si="1"/>
        <v>#NAME?</v>
      </c>
      <c r="S54" s="83"/>
      <c r="T54" s="96"/>
      <c r="U54" s="97"/>
      <c r="V54" s="97"/>
      <c r="W54" s="97"/>
      <c r="X54" s="97"/>
      <c r="Y54" s="97"/>
      <c r="Z54" s="19"/>
      <c r="AA54" s="33"/>
      <c r="AB54" s="33"/>
      <c r="AC54" s="33"/>
      <c r="AD54" s="83"/>
      <c r="AE54" s="117">
        <v>35.1571</v>
      </c>
      <c r="AF54" s="118">
        <v>30.9224</v>
      </c>
      <c r="AG54" s="124">
        <v>33.264000000000003</v>
      </c>
      <c r="AI54" s="141"/>
      <c r="AJ54" s="141"/>
      <c r="AK54" s="141"/>
      <c r="AL54" s="141"/>
    </row>
    <row r="55" spans="1:38" ht="15" customHeight="1" x14ac:dyDescent="0.25">
      <c r="A55" s="54" t="s">
        <v>26</v>
      </c>
      <c r="B55" s="34" t="s">
        <v>49</v>
      </c>
      <c r="C55" s="18">
        <v>22</v>
      </c>
      <c r="D55" s="43"/>
      <c r="E55" s="43"/>
      <c r="F55" s="43"/>
      <c r="G55" s="43"/>
      <c r="H55" s="99"/>
      <c r="I55" s="100"/>
      <c r="J55" s="85" t="e">
        <f t="shared" ca="1" si="0"/>
        <v>#NAME?</v>
      </c>
      <c r="K55" s="19"/>
      <c r="L55" s="111"/>
      <c r="M55" s="112"/>
      <c r="N55" s="112"/>
      <c r="O55" s="112"/>
      <c r="P55" s="112"/>
      <c r="Q55" s="120"/>
      <c r="R55" s="85" t="e">
        <f t="shared" ca="1" si="1"/>
        <v>#NAME?</v>
      </c>
      <c r="S55" s="83"/>
      <c r="T55" s="90" t="e">
        <f ca="1">bdrate(D55:D58,E55:E58,L55:L58,M55:M58)</f>
        <v>#NAME?</v>
      </c>
      <c r="U55" s="91" t="e">
        <f ca="1">bdrate(D55:D58,F55:F58,L55:L58,N55:N58)</f>
        <v>#NAME?</v>
      </c>
      <c r="V55" s="91" t="e">
        <f ca="1">bdrate(D55:D58,G55:G58,L55:L58,O55:O58)</f>
        <v>#NAME?</v>
      </c>
      <c r="W55" s="91" t="e">
        <f ca="1">bdrateOld(D55:D58,E55:E58,L55:L58,M55:M58)</f>
        <v>#NAME?</v>
      </c>
      <c r="X55" s="91" t="e">
        <f ca="1">bdrateOld(D55:D58,F55:F58,L55:L58,N55:N58)</f>
        <v>#NAME?</v>
      </c>
      <c r="Y55" s="91" t="e">
        <f ca="1">bdrateOld(D55:D58,G55:G58,L55:L58,O55:O58)</f>
        <v>#NAME?</v>
      </c>
      <c r="Z55" s="19"/>
      <c r="AA55" s="43"/>
      <c r="AB55" s="43"/>
      <c r="AC55" s="43"/>
      <c r="AD55" s="83"/>
      <c r="AE55" s="111">
        <v>45.447400000000002</v>
      </c>
      <c r="AF55" s="112">
        <v>47.713000000000001</v>
      </c>
      <c r="AG55" s="120">
        <v>47.879199999999997</v>
      </c>
      <c r="AI55" s="141"/>
      <c r="AJ55" s="141"/>
      <c r="AK55" s="141"/>
      <c r="AL55" s="141"/>
    </row>
    <row r="56" spans="1:38" ht="15" customHeight="1" x14ac:dyDescent="0.2">
      <c r="B56" s="36"/>
      <c r="C56" s="19">
        <v>27</v>
      </c>
      <c r="D56" s="24"/>
      <c r="E56" s="24"/>
      <c r="F56" s="24"/>
      <c r="G56" s="24"/>
      <c r="H56" s="101"/>
      <c r="I56" s="102"/>
      <c r="J56" s="85" t="e">
        <f t="shared" ca="1" si="0"/>
        <v>#NAME?</v>
      </c>
      <c r="K56" s="19"/>
      <c r="L56" s="111"/>
      <c r="M56" s="112"/>
      <c r="N56" s="112"/>
      <c r="O56" s="112"/>
      <c r="P56" s="112"/>
      <c r="Q56" s="120"/>
      <c r="R56" s="85" t="e">
        <f t="shared" ca="1" si="1"/>
        <v>#NAME?</v>
      </c>
      <c r="S56" s="83"/>
      <c r="T56" s="90"/>
      <c r="U56" s="91"/>
      <c r="V56" s="91"/>
      <c r="W56" s="91"/>
      <c r="X56" s="91"/>
      <c r="Y56" s="91"/>
      <c r="Z56" s="19"/>
      <c r="AA56" s="24"/>
      <c r="AB56" s="24"/>
      <c r="AC56" s="24"/>
      <c r="AD56" s="83"/>
      <c r="AE56" s="111">
        <v>40.139000000000003</v>
      </c>
      <c r="AF56" s="112">
        <v>43.360500000000002</v>
      </c>
      <c r="AG56" s="120">
        <v>43.535400000000003</v>
      </c>
      <c r="AI56" s="141"/>
      <c r="AJ56" s="141"/>
      <c r="AK56" s="141"/>
      <c r="AL56" s="141"/>
    </row>
    <row r="57" spans="1:38" ht="15" customHeight="1" x14ac:dyDescent="0.2">
      <c r="B57" s="48"/>
      <c r="C57" s="19">
        <v>32</v>
      </c>
      <c r="D57" s="24"/>
      <c r="E57" s="24"/>
      <c r="F57" s="24"/>
      <c r="G57" s="24"/>
      <c r="H57" s="101"/>
      <c r="I57" s="102"/>
      <c r="J57" s="85" t="e">
        <f t="shared" ca="1" si="0"/>
        <v>#NAME?</v>
      </c>
      <c r="K57" s="19"/>
      <c r="L57" s="111"/>
      <c r="M57" s="112"/>
      <c r="N57" s="112"/>
      <c r="O57" s="112"/>
      <c r="P57" s="112"/>
      <c r="Q57" s="120"/>
      <c r="R57" s="85" t="e">
        <f t="shared" ca="1" si="1"/>
        <v>#NAME?</v>
      </c>
      <c r="S57" s="83"/>
      <c r="T57" s="90"/>
      <c r="U57" s="91"/>
      <c r="V57" s="91"/>
      <c r="W57" s="91"/>
      <c r="X57" s="91"/>
      <c r="Y57" s="91"/>
      <c r="Z57" s="19"/>
      <c r="AA57" s="24"/>
      <c r="AB57" s="24"/>
      <c r="AC57" s="24"/>
      <c r="AD57" s="83"/>
      <c r="AE57" s="111">
        <v>35.8673</v>
      </c>
      <c r="AF57" s="112">
        <v>39.216299999999997</v>
      </c>
      <c r="AG57" s="120">
        <v>39.506</v>
      </c>
      <c r="AI57" s="141"/>
      <c r="AJ57" s="141"/>
      <c r="AK57" s="141"/>
      <c r="AL57" s="141"/>
    </row>
    <row r="58" spans="1:38" ht="15" customHeight="1" x14ac:dyDescent="0.2">
      <c r="B58" s="49"/>
      <c r="C58" s="19">
        <v>37</v>
      </c>
      <c r="D58" s="24"/>
      <c r="E58" s="24"/>
      <c r="F58" s="24"/>
      <c r="G58" s="24"/>
      <c r="H58" s="101"/>
      <c r="I58" s="102"/>
      <c r="J58" s="86" t="e">
        <f t="shared" ca="1" si="0"/>
        <v>#NAME?</v>
      </c>
      <c r="K58" s="19"/>
      <c r="L58" s="111"/>
      <c r="M58" s="112"/>
      <c r="N58" s="112"/>
      <c r="O58" s="112"/>
      <c r="P58" s="112"/>
      <c r="Q58" s="120"/>
      <c r="R58" s="86" t="e">
        <f t="shared" ca="1" si="1"/>
        <v>#NAME?</v>
      </c>
      <c r="S58" s="83"/>
      <c r="T58" s="90"/>
      <c r="U58" s="91"/>
      <c r="V58" s="91"/>
      <c r="W58" s="91"/>
      <c r="X58" s="91"/>
      <c r="Y58" s="91"/>
      <c r="Z58" s="19"/>
      <c r="AA58" s="24"/>
      <c r="AB58" s="24"/>
      <c r="AC58" s="24"/>
      <c r="AD58" s="83"/>
      <c r="AE58" s="111">
        <v>31.834199999999999</v>
      </c>
      <c r="AF58" s="112">
        <v>35.1738</v>
      </c>
      <c r="AG58" s="120">
        <v>35.67</v>
      </c>
      <c r="AI58" s="141"/>
      <c r="AJ58" s="141"/>
      <c r="AK58" s="141"/>
      <c r="AL58" s="141"/>
    </row>
    <row r="59" spans="1:38" ht="15" customHeight="1" x14ac:dyDescent="0.2">
      <c r="B59" s="50" t="s">
        <v>50</v>
      </c>
      <c r="C59" s="61">
        <v>22</v>
      </c>
      <c r="D59" s="31"/>
      <c r="E59" s="31"/>
      <c r="F59" s="31"/>
      <c r="G59" s="31"/>
      <c r="H59" s="105"/>
      <c r="I59" s="106"/>
      <c r="J59" s="85" t="e">
        <f t="shared" ca="1" si="0"/>
        <v>#NAME?</v>
      </c>
      <c r="K59" s="19"/>
      <c r="L59" s="115"/>
      <c r="M59" s="116"/>
      <c r="N59" s="116"/>
      <c r="O59" s="116"/>
      <c r="P59" s="116"/>
      <c r="Q59" s="122"/>
      <c r="R59" s="85" t="e">
        <f t="shared" ca="1" si="1"/>
        <v>#NAME?</v>
      </c>
      <c r="S59" s="83"/>
      <c r="T59" s="94" t="e">
        <f ca="1">bdrate(D59:D62,E59:E62,L59:L62,M59:M62)</f>
        <v>#NAME?</v>
      </c>
      <c r="U59" s="95" t="e">
        <f ca="1">bdrate(D59:D62,F59:F62,L59:L62,N59:N62)</f>
        <v>#NAME?</v>
      </c>
      <c r="V59" s="95" t="e">
        <f ca="1">bdrate(D59:D62,G59:G62,L59:L62,O59:O62)</f>
        <v>#NAME?</v>
      </c>
      <c r="W59" s="95" t="e">
        <f ca="1">bdrateOld(D59:D62,E59:E62,L59:L62,M59:M62)</f>
        <v>#NAME?</v>
      </c>
      <c r="X59" s="95" t="e">
        <f ca="1">bdrateOld(D59:D62,F59:F62,L59:L62,N59:N62)</f>
        <v>#NAME?</v>
      </c>
      <c r="Y59" s="95" t="e">
        <f ca="1">bdrateOld(D59:D62,G59:G62,L59:L62,O59:O62)</f>
        <v>#NAME?</v>
      </c>
      <c r="Z59" s="19"/>
      <c r="AA59" s="31"/>
      <c r="AB59" s="31"/>
      <c r="AC59" s="31"/>
      <c r="AD59" s="83"/>
      <c r="AE59" s="115">
        <v>53.369300000000003</v>
      </c>
      <c r="AF59" s="116">
        <v>53.551299999999998</v>
      </c>
      <c r="AG59" s="125">
        <v>54.066899999999997</v>
      </c>
      <c r="AI59" s="141"/>
      <c r="AJ59" s="141"/>
      <c r="AK59" s="141"/>
      <c r="AL59" s="141"/>
    </row>
    <row r="60" spans="1:38" ht="15" customHeight="1" x14ac:dyDescent="0.2">
      <c r="B60" s="36"/>
      <c r="C60" s="19">
        <v>27</v>
      </c>
      <c r="D60" s="24"/>
      <c r="E60" s="24"/>
      <c r="F60" s="24"/>
      <c r="G60" s="24"/>
      <c r="H60" s="101"/>
      <c r="I60" s="102"/>
      <c r="J60" s="85" t="e">
        <f t="shared" ca="1" si="0"/>
        <v>#NAME?</v>
      </c>
      <c r="K60" s="19"/>
      <c r="L60" s="111"/>
      <c r="M60" s="112"/>
      <c r="N60" s="112"/>
      <c r="O60" s="112"/>
      <c r="P60" s="112"/>
      <c r="Q60" s="123"/>
      <c r="R60" s="85" t="e">
        <f t="shared" ca="1" si="1"/>
        <v>#NAME?</v>
      </c>
      <c r="S60" s="83"/>
      <c r="T60" s="90"/>
      <c r="U60" s="91"/>
      <c r="V60" s="91"/>
      <c r="W60" s="91"/>
      <c r="X60" s="91"/>
      <c r="Y60" s="91"/>
      <c r="Z60" s="19"/>
      <c r="AA60" s="24"/>
      <c r="AB60" s="24"/>
      <c r="AC60" s="24"/>
      <c r="AD60" s="83"/>
      <c r="AE60" s="111">
        <v>48.396500000000003</v>
      </c>
      <c r="AF60" s="112">
        <v>48.506100000000004</v>
      </c>
      <c r="AG60" s="120">
        <v>49.264899999999997</v>
      </c>
      <c r="AI60" s="141"/>
      <c r="AJ60" s="141"/>
      <c r="AK60" s="141"/>
      <c r="AL60" s="141"/>
    </row>
    <row r="61" spans="1:38" ht="15" customHeight="1" x14ac:dyDescent="0.2">
      <c r="B61" s="36"/>
      <c r="C61" s="19">
        <v>32</v>
      </c>
      <c r="D61" s="24"/>
      <c r="E61" s="24"/>
      <c r="F61" s="24"/>
      <c r="G61" s="24"/>
      <c r="H61" s="101"/>
      <c r="I61" s="102"/>
      <c r="J61" s="85" t="e">
        <f t="shared" ca="1" si="0"/>
        <v>#NAME?</v>
      </c>
      <c r="K61" s="19"/>
      <c r="L61" s="111"/>
      <c r="M61" s="112"/>
      <c r="N61" s="112"/>
      <c r="O61" s="112"/>
      <c r="P61" s="112"/>
      <c r="Q61" s="120"/>
      <c r="R61" s="85" t="e">
        <f t="shared" ca="1" si="1"/>
        <v>#NAME?</v>
      </c>
      <c r="S61" s="83"/>
      <c r="T61" s="90"/>
      <c r="U61" s="91"/>
      <c r="V61" s="91"/>
      <c r="W61" s="91"/>
      <c r="X61" s="91"/>
      <c r="Y61" s="91"/>
      <c r="Z61" s="19"/>
      <c r="AA61" s="24"/>
      <c r="AB61" s="24"/>
      <c r="AC61" s="24"/>
      <c r="AD61" s="83"/>
      <c r="AE61" s="111">
        <v>42.921599999999998</v>
      </c>
      <c r="AF61" s="112">
        <v>43.322600000000001</v>
      </c>
      <c r="AG61" s="120">
        <v>43.854599999999998</v>
      </c>
      <c r="AI61" s="141"/>
      <c r="AJ61" s="141"/>
      <c r="AK61" s="141"/>
      <c r="AL61" s="141"/>
    </row>
    <row r="62" spans="1:38" ht="15" customHeight="1" x14ac:dyDescent="0.2">
      <c r="B62" s="41"/>
      <c r="C62" s="60">
        <v>37</v>
      </c>
      <c r="D62" s="25"/>
      <c r="E62" s="25"/>
      <c r="F62" s="25"/>
      <c r="G62" s="25"/>
      <c r="H62" s="103"/>
      <c r="I62" s="104"/>
      <c r="J62" s="86" t="e">
        <f t="shared" ca="1" si="0"/>
        <v>#NAME?</v>
      </c>
      <c r="K62" s="19"/>
      <c r="L62" s="113"/>
      <c r="M62" s="114"/>
      <c r="N62" s="114"/>
      <c r="O62" s="114"/>
      <c r="P62" s="114"/>
      <c r="Q62" s="121"/>
      <c r="R62" s="86" t="e">
        <f t="shared" ca="1" si="1"/>
        <v>#NAME?</v>
      </c>
      <c r="S62" s="83"/>
      <c r="T62" s="92"/>
      <c r="U62" s="93"/>
      <c r="V62" s="93"/>
      <c r="W62" s="93"/>
      <c r="X62" s="93"/>
      <c r="Y62" s="93"/>
      <c r="Z62" s="19"/>
      <c r="AA62" s="25"/>
      <c r="AB62" s="25"/>
      <c r="AC62" s="25"/>
      <c r="AD62" s="83"/>
      <c r="AE62" s="113">
        <v>37.115699999999997</v>
      </c>
      <c r="AF62" s="114">
        <v>38.824300000000001</v>
      </c>
      <c r="AG62" s="121">
        <v>39.284700000000001</v>
      </c>
      <c r="AI62" s="141"/>
      <c r="AJ62" s="141"/>
      <c r="AK62" s="141"/>
      <c r="AL62" s="141"/>
    </row>
    <row r="63" spans="1:38" ht="15" customHeight="1" x14ac:dyDescent="0.2">
      <c r="B63" s="39" t="s">
        <v>51</v>
      </c>
      <c r="C63" s="19">
        <v>22</v>
      </c>
      <c r="D63" s="24"/>
      <c r="E63" s="24"/>
      <c r="F63" s="24"/>
      <c r="G63" s="24"/>
      <c r="H63" s="101"/>
      <c r="I63" s="102"/>
      <c r="J63" s="85" t="e">
        <f t="shared" ca="1" si="0"/>
        <v>#NAME?</v>
      </c>
      <c r="K63" s="19"/>
      <c r="L63" s="111"/>
      <c r="M63" s="112"/>
      <c r="N63" s="112"/>
      <c r="O63" s="112"/>
      <c r="P63" s="112"/>
      <c r="Q63" s="120"/>
      <c r="R63" s="85" t="e">
        <f t="shared" ca="1" si="1"/>
        <v>#NAME?</v>
      </c>
      <c r="S63" s="83"/>
      <c r="T63" s="90" t="e">
        <f ca="1">bdrate(D63:D66,E63:E66,L63:L66,M63:M66)</f>
        <v>#NAME?</v>
      </c>
      <c r="U63" s="91" t="e">
        <f ca="1">bdrate(D63:D66,F63:F66,L63:L66,N63:N66)</f>
        <v>#NAME?</v>
      </c>
      <c r="V63" s="91" t="e">
        <f ca="1">bdrate(D63:D66,G63:G66,L63:L66,O63:O66)</f>
        <v>#NAME?</v>
      </c>
      <c r="W63" s="91" t="e">
        <f ca="1">bdrateOld(D63:D66,E63:E66,L63:L66,M63:M66)</f>
        <v>#NAME?</v>
      </c>
      <c r="X63" s="91" t="e">
        <f ca="1">bdrateOld(D63:D66,F63:F66,L63:L66,N63:N66)</f>
        <v>#NAME?</v>
      </c>
      <c r="Y63" s="91" t="e">
        <f ca="1">bdrateOld(D63:D66,G63:G66,L63:L66,O63:O66)</f>
        <v>#NAME?</v>
      </c>
      <c r="Z63" s="19"/>
      <c r="AA63" s="24"/>
      <c r="AB63" s="24"/>
      <c r="AC63" s="24"/>
      <c r="AD63" s="83"/>
      <c r="AE63" s="111">
        <v>53.7926</v>
      </c>
      <c r="AF63" s="112">
        <v>55.164400000000001</v>
      </c>
      <c r="AG63" s="120">
        <v>54.348799999999997</v>
      </c>
      <c r="AI63" s="141"/>
      <c r="AJ63" s="141"/>
      <c r="AK63" s="141"/>
      <c r="AL63" s="141"/>
    </row>
    <row r="64" spans="1:38" ht="15" customHeight="1" x14ac:dyDescent="0.2">
      <c r="B64" s="40"/>
      <c r="C64" s="19">
        <v>27</v>
      </c>
      <c r="D64" s="24"/>
      <c r="E64" s="24"/>
      <c r="F64" s="24"/>
      <c r="G64" s="24"/>
      <c r="H64" s="101"/>
      <c r="I64" s="102"/>
      <c r="J64" s="85" t="e">
        <f t="shared" ca="1" si="0"/>
        <v>#NAME?</v>
      </c>
      <c r="K64" s="19"/>
      <c r="L64" s="111"/>
      <c r="M64" s="112"/>
      <c r="N64" s="112"/>
      <c r="O64" s="112"/>
      <c r="P64" s="112"/>
      <c r="Q64" s="120"/>
      <c r="R64" s="85" t="e">
        <f t="shared" ca="1" si="1"/>
        <v>#NAME?</v>
      </c>
      <c r="S64" s="83"/>
      <c r="T64" s="90"/>
      <c r="U64" s="91"/>
      <c r="V64" s="91"/>
      <c r="W64" s="91"/>
      <c r="X64" s="91"/>
      <c r="Y64" s="91"/>
      <c r="Z64" s="19"/>
      <c r="AA64" s="24"/>
      <c r="AB64" s="24"/>
      <c r="AC64" s="24"/>
      <c r="AD64" s="83"/>
      <c r="AE64" s="111">
        <v>48.404699999999998</v>
      </c>
      <c r="AF64" s="112">
        <v>50.219700000000003</v>
      </c>
      <c r="AG64" s="120">
        <v>49.018500000000003</v>
      </c>
      <c r="AI64" s="141"/>
      <c r="AJ64" s="141"/>
      <c r="AK64" s="141"/>
      <c r="AL64" s="141"/>
    </row>
    <row r="65" spans="1:38" ht="15" customHeight="1" x14ac:dyDescent="0.2">
      <c r="B65" s="40"/>
      <c r="C65" s="19">
        <v>32</v>
      </c>
      <c r="D65" s="24"/>
      <c r="E65" s="24"/>
      <c r="F65" s="24"/>
      <c r="G65" s="24"/>
      <c r="H65" s="101"/>
      <c r="I65" s="102"/>
      <c r="J65" s="85" t="e">
        <f t="shared" ca="1" si="0"/>
        <v>#NAME?</v>
      </c>
      <c r="K65" s="19"/>
      <c r="L65" s="111"/>
      <c r="M65" s="112"/>
      <c r="N65" s="112"/>
      <c r="O65" s="112"/>
      <c r="P65" s="112"/>
      <c r="Q65" s="120"/>
      <c r="R65" s="85" t="e">
        <f t="shared" ca="1" si="1"/>
        <v>#NAME?</v>
      </c>
      <c r="S65" s="83"/>
      <c r="T65" s="90"/>
      <c r="U65" s="91"/>
      <c r="V65" s="91"/>
      <c r="W65" s="91"/>
      <c r="X65" s="91"/>
      <c r="Y65" s="91"/>
      <c r="Z65" s="19"/>
      <c r="AA65" s="24"/>
      <c r="AB65" s="24"/>
      <c r="AC65" s="24"/>
      <c r="AD65" s="83"/>
      <c r="AE65" s="111">
        <v>42.444000000000003</v>
      </c>
      <c r="AF65" s="112">
        <v>45.613300000000002</v>
      </c>
      <c r="AG65" s="120">
        <v>44.1419</v>
      </c>
      <c r="AI65" s="141"/>
      <c r="AJ65" s="141"/>
      <c r="AK65" s="141"/>
      <c r="AL65" s="141"/>
    </row>
    <row r="66" spans="1:38" ht="15" customHeight="1" thickBot="1" x14ac:dyDescent="0.25">
      <c r="B66" s="79"/>
      <c r="C66" s="20">
        <v>37</v>
      </c>
      <c r="D66" s="33"/>
      <c r="E66" s="33"/>
      <c r="F66" s="33"/>
      <c r="G66" s="33"/>
      <c r="H66" s="107"/>
      <c r="I66" s="108"/>
      <c r="J66" s="87" t="e">
        <f t="shared" ca="1" si="0"/>
        <v>#NAME?</v>
      </c>
      <c r="K66" s="19"/>
      <c r="L66" s="117"/>
      <c r="M66" s="118"/>
      <c r="N66" s="118"/>
      <c r="O66" s="118"/>
      <c r="P66" s="118"/>
      <c r="Q66" s="124"/>
      <c r="R66" s="87" t="e">
        <f t="shared" ca="1" si="1"/>
        <v>#NAME?</v>
      </c>
      <c r="S66" s="83"/>
      <c r="T66" s="96"/>
      <c r="U66" s="97"/>
      <c r="V66" s="97"/>
      <c r="W66" s="97"/>
      <c r="X66" s="97"/>
      <c r="Y66" s="97"/>
      <c r="Z66" s="19"/>
      <c r="AA66" s="33"/>
      <c r="AB66" s="33"/>
      <c r="AC66" s="33"/>
      <c r="AD66" s="83"/>
      <c r="AE66" s="117">
        <v>37.207000000000001</v>
      </c>
      <c r="AF66" s="118">
        <v>41.380099999999999</v>
      </c>
      <c r="AG66" s="124">
        <v>39.465800000000002</v>
      </c>
      <c r="AI66" s="141"/>
      <c r="AJ66" s="141"/>
      <c r="AK66" s="141"/>
      <c r="AL66" s="141"/>
    </row>
    <row r="67" spans="1:38" ht="15" customHeight="1" x14ac:dyDescent="0.25">
      <c r="A67" s="54" t="s">
        <v>27</v>
      </c>
      <c r="B67" s="80" t="s">
        <v>52</v>
      </c>
      <c r="C67" s="18">
        <v>22</v>
      </c>
      <c r="D67" s="43"/>
      <c r="E67" s="43"/>
      <c r="F67" s="43"/>
      <c r="G67" s="43"/>
      <c r="H67" s="99"/>
      <c r="I67" s="100"/>
      <c r="J67" s="85" t="e">
        <f t="shared" ca="1" si="0"/>
        <v>#NAME?</v>
      </c>
      <c r="K67" s="19"/>
      <c r="L67" s="111"/>
      <c r="M67" s="112"/>
      <c r="N67" s="112"/>
      <c r="O67" s="112"/>
      <c r="P67" s="112"/>
      <c r="Q67" s="120"/>
      <c r="R67" s="85" t="e">
        <f t="shared" ca="1" si="1"/>
        <v>#NAME?</v>
      </c>
      <c r="S67" s="83"/>
      <c r="T67" s="90" t="e">
        <f ca="1">bdrate(D67:D70,E67:E70,L67:L70,M67:M70)</f>
        <v>#NAME?</v>
      </c>
      <c r="U67" s="91" t="e">
        <f ca="1">bdrate(D67:D70,F67:F70,L67:L70,N67:N70)</f>
        <v>#NAME?</v>
      </c>
      <c r="V67" s="91" t="e">
        <f ca="1">bdrate(D67:D70,G67:G70,L67:L70,O67:O70)</f>
        <v>#NAME?</v>
      </c>
      <c r="W67" s="91" t="e">
        <f ca="1">bdrateOld(D67:D70,E67:E70,L67:L70,M67:M70)</f>
        <v>#NAME?</v>
      </c>
      <c r="X67" s="91" t="e">
        <f ca="1">bdrateOld(D67:D70,F67:F70,L67:L70,N67:N70)</f>
        <v>#NAME?</v>
      </c>
      <c r="Y67" s="91" t="e">
        <f ca="1">bdrateOld(D67:D70,G67:G70,L67:L70,O67:O70)</f>
        <v>#NAME?</v>
      </c>
      <c r="Z67" s="19"/>
      <c r="AA67" s="43"/>
      <c r="AB67" s="43"/>
      <c r="AC67" s="43"/>
      <c r="AD67" s="83"/>
      <c r="AE67" s="111">
        <v>51.7014</v>
      </c>
      <c r="AF67" s="112">
        <v>53.620399999999997</v>
      </c>
      <c r="AG67" s="120">
        <v>53.5715</v>
      </c>
      <c r="AI67" s="141"/>
      <c r="AJ67" s="141"/>
      <c r="AK67" s="141"/>
      <c r="AL67" s="141"/>
    </row>
    <row r="68" spans="1:38" ht="15" customHeight="1" x14ac:dyDescent="0.2">
      <c r="B68" s="40"/>
      <c r="C68" s="19">
        <v>27</v>
      </c>
      <c r="D68" s="24"/>
      <c r="E68" s="24"/>
      <c r="F68" s="24"/>
      <c r="G68" s="24"/>
      <c r="H68" s="101"/>
      <c r="I68" s="102"/>
      <c r="J68" s="85" t="e">
        <f t="shared" ca="1" si="0"/>
        <v>#NAME?</v>
      </c>
      <c r="K68" s="19"/>
      <c r="L68" s="111"/>
      <c r="M68" s="112"/>
      <c r="N68" s="112"/>
      <c r="O68" s="112"/>
      <c r="P68" s="112"/>
      <c r="Q68" s="120"/>
      <c r="R68" s="85" t="e">
        <f t="shared" ca="1" si="1"/>
        <v>#NAME?</v>
      </c>
      <c r="S68" s="83"/>
      <c r="T68" s="90"/>
      <c r="U68" s="91"/>
      <c r="V68" s="91"/>
      <c r="W68" s="91"/>
      <c r="X68" s="91"/>
      <c r="Y68" s="91"/>
      <c r="Z68" s="19"/>
      <c r="AA68" s="24"/>
      <c r="AB68" s="24"/>
      <c r="AC68" s="24"/>
      <c r="AD68" s="83"/>
      <c r="AE68" s="111">
        <v>47.2134</v>
      </c>
      <c r="AF68" s="112">
        <v>48.639299999999999</v>
      </c>
      <c r="AG68" s="120">
        <v>48.896900000000002</v>
      </c>
      <c r="AI68" s="141"/>
      <c r="AJ68" s="141"/>
      <c r="AK68" s="141"/>
      <c r="AL68" s="141"/>
    </row>
    <row r="69" spans="1:38" ht="15" customHeight="1" x14ac:dyDescent="0.2">
      <c r="B69" s="40"/>
      <c r="C69" s="19">
        <v>32</v>
      </c>
      <c r="D69" s="24"/>
      <c r="E69" s="24"/>
      <c r="F69" s="24"/>
      <c r="G69" s="24"/>
      <c r="H69" s="101"/>
      <c r="I69" s="102"/>
      <c r="J69" s="85" t="e">
        <f t="shared" ref="J69:J106" ca="1" si="2">secToHours(H69)</f>
        <v>#NAME?</v>
      </c>
      <c r="K69" s="19"/>
      <c r="L69" s="111"/>
      <c r="M69" s="112"/>
      <c r="N69" s="112"/>
      <c r="O69" s="112"/>
      <c r="P69" s="112"/>
      <c r="Q69" s="120"/>
      <c r="R69" s="85" t="e">
        <f t="shared" ref="R69:R106" ca="1" si="3">secToHours(P69)</f>
        <v>#NAME?</v>
      </c>
      <c r="S69" s="83"/>
      <c r="T69" s="90"/>
      <c r="U69" s="91"/>
      <c r="V69" s="91"/>
      <c r="W69" s="91"/>
      <c r="X69" s="91"/>
      <c r="Y69" s="91"/>
      <c r="Z69" s="19"/>
      <c r="AA69" s="24"/>
      <c r="AB69" s="24"/>
      <c r="AC69" s="24"/>
      <c r="AD69" s="83"/>
      <c r="AE69" s="111">
        <v>41.996699999999997</v>
      </c>
      <c r="AF69" s="112">
        <v>43.67</v>
      </c>
      <c r="AG69" s="120">
        <v>43.887900000000002</v>
      </c>
      <c r="AI69" s="141"/>
      <c r="AJ69" s="141"/>
      <c r="AK69" s="141"/>
      <c r="AL69" s="141"/>
    </row>
    <row r="70" spans="1:38" ht="15" customHeight="1" x14ac:dyDescent="0.2">
      <c r="B70" s="41"/>
      <c r="C70" s="19">
        <v>37</v>
      </c>
      <c r="D70" s="24"/>
      <c r="E70" s="24"/>
      <c r="F70" s="24"/>
      <c r="G70" s="24"/>
      <c r="H70" s="101"/>
      <c r="I70" s="102"/>
      <c r="J70" s="86" t="e">
        <f t="shared" ca="1" si="2"/>
        <v>#NAME?</v>
      </c>
      <c r="K70" s="19"/>
      <c r="L70" s="111"/>
      <c r="M70" s="112"/>
      <c r="N70" s="112"/>
      <c r="O70" s="112"/>
      <c r="P70" s="112"/>
      <c r="Q70" s="120"/>
      <c r="R70" s="86" t="e">
        <f t="shared" ca="1" si="3"/>
        <v>#NAME?</v>
      </c>
      <c r="S70" s="83"/>
      <c r="T70" s="90"/>
      <c r="U70" s="91"/>
      <c r="V70" s="91"/>
      <c r="W70" s="91"/>
      <c r="X70" s="91"/>
      <c r="Y70" s="91"/>
      <c r="Z70" s="19"/>
      <c r="AA70" s="24"/>
      <c r="AB70" s="24"/>
      <c r="AC70" s="24"/>
      <c r="AD70" s="83"/>
      <c r="AE70" s="111">
        <v>36.945500000000003</v>
      </c>
      <c r="AF70" s="112">
        <v>38.334600000000002</v>
      </c>
      <c r="AG70" s="120">
        <v>39.981200000000001</v>
      </c>
      <c r="AI70" s="141"/>
      <c r="AJ70" s="141"/>
      <c r="AK70" s="141"/>
      <c r="AL70" s="141"/>
    </row>
    <row r="71" spans="1:38" ht="15" customHeight="1" x14ac:dyDescent="0.2">
      <c r="B71" s="39" t="s">
        <v>53</v>
      </c>
      <c r="C71" s="61">
        <v>22</v>
      </c>
      <c r="D71" s="31"/>
      <c r="E71" s="31"/>
      <c r="F71" s="31"/>
      <c r="G71" s="31"/>
      <c r="H71" s="105"/>
      <c r="I71" s="106"/>
      <c r="J71" s="85" t="e">
        <f t="shared" ca="1" si="2"/>
        <v>#NAME?</v>
      </c>
      <c r="K71" s="19"/>
      <c r="L71" s="115"/>
      <c r="M71" s="116"/>
      <c r="N71" s="116"/>
      <c r="O71" s="116"/>
      <c r="P71" s="116"/>
      <c r="Q71" s="125"/>
      <c r="R71" s="85" t="e">
        <f t="shared" ca="1" si="3"/>
        <v>#NAME?</v>
      </c>
      <c r="S71" s="83"/>
      <c r="T71" s="94" t="e">
        <f ca="1">bdrate(D71:D74,E71:E74,L71:L74,M71:M74)</f>
        <v>#NAME?</v>
      </c>
      <c r="U71" s="95" t="e">
        <f ca="1">bdrate(D71:D74,F71:F74,L71:L74,N71:N74)</f>
        <v>#NAME?</v>
      </c>
      <c r="V71" s="95" t="e">
        <f ca="1">bdrate(D71:D74,G71:G74,L71:L74,O71:O74)</f>
        <v>#NAME?</v>
      </c>
      <c r="W71" s="95" t="e">
        <f ca="1">bdrateOld(D71:D74,E71:E74,L71:L74,M71:M74)</f>
        <v>#NAME?</v>
      </c>
      <c r="X71" s="95" t="e">
        <f ca="1">bdrateOld(D71:D74,F71:F74,L71:L74,N71:N74)</f>
        <v>#NAME?</v>
      </c>
      <c r="Y71" s="95" t="e">
        <f ca="1">bdrateOld(D71:D74,G71:G74,L71:L74,O71:O74)</f>
        <v>#NAME?</v>
      </c>
      <c r="Z71" s="19"/>
      <c r="AA71" s="31"/>
      <c r="AB71" s="31"/>
      <c r="AC71" s="31"/>
      <c r="AD71" s="83"/>
      <c r="AE71" s="115">
        <v>46.054000000000002</v>
      </c>
      <c r="AF71" s="116">
        <v>49.551099999999998</v>
      </c>
      <c r="AG71" s="125">
        <v>51.742699999999999</v>
      </c>
      <c r="AI71" s="141"/>
      <c r="AJ71" s="141"/>
      <c r="AK71" s="141"/>
      <c r="AL71" s="141"/>
    </row>
    <row r="72" spans="1:38" ht="15" customHeight="1" x14ac:dyDescent="0.2">
      <c r="B72" s="40"/>
      <c r="C72" s="19">
        <v>27</v>
      </c>
      <c r="D72" s="24"/>
      <c r="E72" s="24"/>
      <c r="F72" s="24"/>
      <c r="G72" s="24"/>
      <c r="H72" s="101"/>
      <c r="I72" s="102"/>
      <c r="J72" s="85" t="e">
        <f t="shared" ca="1" si="2"/>
        <v>#NAME?</v>
      </c>
      <c r="K72" s="19"/>
      <c r="L72" s="111"/>
      <c r="M72" s="112"/>
      <c r="N72" s="112"/>
      <c r="O72" s="112"/>
      <c r="P72" s="112"/>
      <c r="Q72" s="120"/>
      <c r="R72" s="85" t="e">
        <f t="shared" ca="1" si="3"/>
        <v>#NAME?</v>
      </c>
      <c r="S72" s="83"/>
      <c r="T72" s="90"/>
      <c r="U72" s="91"/>
      <c r="V72" s="91"/>
      <c r="W72" s="91"/>
      <c r="X72" s="91"/>
      <c r="Y72" s="91"/>
      <c r="Z72" s="19"/>
      <c r="AA72" s="24"/>
      <c r="AB72" s="24"/>
      <c r="AC72" s="24"/>
      <c r="AD72" s="83"/>
      <c r="AE72" s="111">
        <v>41.4251</v>
      </c>
      <c r="AF72" s="112">
        <v>46.048999999999999</v>
      </c>
      <c r="AG72" s="120">
        <v>48.8123</v>
      </c>
      <c r="AI72" s="141"/>
      <c r="AJ72" s="141"/>
      <c r="AK72" s="141"/>
      <c r="AL72" s="141"/>
    </row>
    <row r="73" spans="1:38" ht="15" customHeight="1" x14ac:dyDescent="0.2">
      <c r="B73" s="40"/>
      <c r="C73" s="19">
        <v>32</v>
      </c>
      <c r="D73" s="24"/>
      <c r="E73" s="24"/>
      <c r="F73" s="24"/>
      <c r="G73" s="24"/>
      <c r="H73" s="101"/>
      <c r="I73" s="102"/>
      <c r="J73" s="85" t="e">
        <f t="shared" ca="1" si="2"/>
        <v>#NAME?</v>
      </c>
      <c r="K73" s="19"/>
      <c r="L73" s="111"/>
      <c r="M73" s="112"/>
      <c r="N73" s="112"/>
      <c r="O73" s="112"/>
      <c r="P73" s="112"/>
      <c r="Q73" s="120"/>
      <c r="R73" s="85" t="e">
        <f t="shared" ca="1" si="3"/>
        <v>#NAME?</v>
      </c>
      <c r="S73" s="83"/>
      <c r="T73" s="90"/>
      <c r="U73" s="91"/>
      <c r="V73" s="91"/>
      <c r="W73" s="91"/>
      <c r="X73" s="91"/>
      <c r="Y73" s="91"/>
      <c r="Z73" s="19"/>
      <c r="AA73" s="24"/>
      <c r="AB73" s="24"/>
      <c r="AC73" s="24"/>
      <c r="AD73" s="83"/>
      <c r="AE73" s="111">
        <v>36.941000000000003</v>
      </c>
      <c r="AF73" s="112">
        <v>42.250300000000003</v>
      </c>
      <c r="AG73" s="120">
        <v>45.846299999999999</v>
      </c>
      <c r="AI73" s="141"/>
      <c r="AJ73" s="141"/>
      <c r="AK73" s="141"/>
      <c r="AL73" s="141"/>
    </row>
    <row r="74" spans="1:38" ht="15" customHeight="1" x14ac:dyDescent="0.2">
      <c r="B74" s="51"/>
      <c r="C74" s="60">
        <v>37</v>
      </c>
      <c r="D74" s="25"/>
      <c r="E74" s="25"/>
      <c r="F74" s="25"/>
      <c r="G74" s="25"/>
      <c r="H74" s="103"/>
      <c r="I74" s="104"/>
      <c r="J74" s="86" t="e">
        <f t="shared" ca="1" si="2"/>
        <v>#NAME?</v>
      </c>
      <c r="K74" s="19"/>
      <c r="L74" s="113"/>
      <c r="M74" s="114"/>
      <c r="N74" s="114"/>
      <c r="O74" s="114"/>
      <c r="P74" s="114"/>
      <c r="Q74" s="121"/>
      <c r="R74" s="86" t="e">
        <f t="shared" ca="1" si="3"/>
        <v>#NAME?</v>
      </c>
      <c r="S74" s="83"/>
      <c r="T74" s="92"/>
      <c r="U74" s="93"/>
      <c r="V74" s="93"/>
      <c r="W74" s="93"/>
      <c r="X74" s="93"/>
      <c r="Y74" s="93"/>
      <c r="Z74" s="19"/>
      <c r="AA74" s="25"/>
      <c r="AB74" s="25"/>
      <c r="AC74" s="25"/>
      <c r="AD74" s="83"/>
      <c r="AE74" s="113">
        <v>33.299500000000002</v>
      </c>
      <c r="AF74" s="114">
        <v>38.671599999999998</v>
      </c>
      <c r="AG74" s="121">
        <v>42.484499999999997</v>
      </c>
      <c r="AI74" s="141"/>
      <c r="AJ74" s="141"/>
      <c r="AK74" s="141"/>
      <c r="AL74" s="141"/>
    </row>
    <row r="75" spans="1:38" ht="15" customHeight="1" x14ac:dyDescent="0.2">
      <c r="B75" s="37" t="s">
        <v>54</v>
      </c>
      <c r="C75" s="19">
        <v>22</v>
      </c>
      <c r="D75" s="31"/>
      <c r="E75" s="31"/>
      <c r="F75" s="31"/>
      <c r="G75" s="31"/>
      <c r="H75" s="105"/>
      <c r="I75" s="106"/>
      <c r="J75" s="85" t="e">
        <f t="shared" ca="1" si="2"/>
        <v>#NAME?</v>
      </c>
      <c r="K75" s="19"/>
      <c r="L75" s="115"/>
      <c r="M75" s="116"/>
      <c r="N75" s="116"/>
      <c r="O75" s="116"/>
      <c r="P75" s="116"/>
      <c r="Q75" s="125"/>
      <c r="R75" s="85" t="e">
        <f t="shared" ca="1" si="3"/>
        <v>#NAME?</v>
      </c>
      <c r="S75" s="83"/>
      <c r="T75" s="94" t="e">
        <f ca="1">bdrate(D75:D78,E75:E78,L75:L78,M75:M78)</f>
        <v>#NAME?</v>
      </c>
      <c r="U75" s="95" t="e">
        <f ca="1">bdrate(D75:D78,F75:F78,L75:L78,N75:N78)</f>
        <v>#NAME?</v>
      </c>
      <c r="V75" s="95" t="e">
        <f ca="1">bdrate(D75:D78,G75:G78,L75:L78,O75:O78)</f>
        <v>#NAME?</v>
      </c>
      <c r="W75" s="95" t="e">
        <f ca="1">bdrateOld(D75:D78,E75:E78,L75:L78,M75:M78)</f>
        <v>#NAME?</v>
      </c>
      <c r="X75" s="95" t="e">
        <f ca="1">bdrateOld(D75:D78,F75:F78,L75:L78,N75:N78)</f>
        <v>#NAME?</v>
      </c>
      <c r="Y75" s="95" t="e">
        <f ca="1">bdrateOld(D75:D78,G75:G78,L75:L78,O75:O78)</f>
        <v>#NAME?</v>
      </c>
      <c r="Z75" s="19"/>
      <c r="AA75" s="31"/>
      <c r="AB75" s="31"/>
      <c r="AC75" s="31"/>
      <c r="AD75" s="83"/>
      <c r="AE75" s="115">
        <v>47.224800000000002</v>
      </c>
      <c r="AF75" s="116">
        <v>46.642000000000003</v>
      </c>
      <c r="AG75" s="125">
        <v>47.298699999999997</v>
      </c>
      <c r="AI75" s="141"/>
      <c r="AJ75" s="141"/>
      <c r="AK75" s="141"/>
      <c r="AL75" s="141"/>
    </row>
    <row r="76" spans="1:38" ht="15" customHeight="1" x14ac:dyDescent="0.2">
      <c r="B76" s="36"/>
      <c r="C76" s="19">
        <v>27</v>
      </c>
      <c r="D76" s="24"/>
      <c r="E76" s="24"/>
      <c r="F76" s="24"/>
      <c r="G76" s="24"/>
      <c r="H76" s="101"/>
      <c r="I76" s="102"/>
      <c r="J76" s="85" t="e">
        <f t="shared" ca="1" si="2"/>
        <v>#NAME?</v>
      </c>
      <c r="K76" s="19"/>
      <c r="L76" s="111"/>
      <c r="M76" s="112"/>
      <c r="N76" s="112"/>
      <c r="O76" s="112"/>
      <c r="P76" s="112"/>
      <c r="Q76" s="120"/>
      <c r="R76" s="85" t="e">
        <f t="shared" ca="1" si="3"/>
        <v>#NAME?</v>
      </c>
      <c r="S76" s="83"/>
      <c r="T76" s="90"/>
      <c r="U76" s="91"/>
      <c r="V76" s="91"/>
      <c r="W76" s="91"/>
      <c r="X76" s="91"/>
      <c r="Y76" s="91"/>
      <c r="Z76" s="19"/>
      <c r="AA76" s="24"/>
      <c r="AB76" s="24"/>
      <c r="AC76" s="24"/>
      <c r="AD76" s="83"/>
      <c r="AE76" s="111">
        <v>42.986800000000002</v>
      </c>
      <c r="AF76" s="112">
        <v>42.5244</v>
      </c>
      <c r="AG76" s="120">
        <v>43.680300000000003</v>
      </c>
      <c r="AI76" s="141"/>
      <c r="AJ76" s="141"/>
      <c r="AK76" s="141"/>
      <c r="AL76" s="141"/>
    </row>
    <row r="77" spans="1:38" ht="15" customHeight="1" x14ac:dyDescent="0.2">
      <c r="B77" s="36"/>
      <c r="C77" s="19">
        <v>32</v>
      </c>
      <c r="D77" s="24"/>
      <c r="E77" s="24"/>
      <c r="F77" s="24"/>
      <c r="G77" s="24"/>
      <c r="H77" s="101"/>
      <c r="I77" s="102"/>
      <c r="J77" s="85" t="e">
        <f t="shared" ca="1" si="2"/>
        <v>#NAME?</v>
      </c>
      <c r="K77" s="19"/>
      <c r="L77" s="111"/>
      <c r="M77" s="112"/>
      <c r="N77" s="112"/>
      <c r="O77" s="112"/>
      <c r="P77" s="112"/>
      <c r="Q77" s="120"/>
      <c r="R77" s="85" t="e">
        <f t="shared" ca="1" si="3"/>
        <v>#NAME?</v>
      </c>
      <c r="S77" s="83"/>
      <c r="T77" s="90"/>
      <c r="U77" s="91"/>
      <c r="V77" s="91"/>
      <c r="W77" s="91"/>
      <c r="X77" s="91"/>
      <c r="Y77" s="98"/>
      <c r="Z77" s="19"/>
      <c r="AA77" s="24"/>
      <c r="AB77" s="24"/>
      <c r="AC77" s="24"/>
      <c r="AD77" s="83"/>
      <c r="AE77" s="111">
        <v>38.547199999999997</v>
      </c>
      <c r="AF77" s="112">
        <v>38.651000000000003</v>
      </c>
      <c r="AG77" s="120">
        <v>40.252099999999999</v>
      </c>
      <c r="AI77" s="141"/>
      <c r="AJ77" s="141"/>
      <c r="AK77" s="141"/>
      <c r="AL77" s="141"/>
    </row>
    <row r="78" spans="1:38" ht="15" customHeight="1" x14ac:dyDescent="0.2">
      <c r="B78" s="36"/>
      <c r="C78" s="19">
        <v>37</v>
      </c>
      <c r="D78" s="25"/>
      <c r="E78" s="25"/>
      <c r="F78" s="25"/>
      <c r="G78" s="25"/>
      <c r="H78" s="103"/>
      <c r="I78" s="104"/>
      <c r="J78" s="86" t="e">
        <f t="shared" ca="1" si="2"/>
        <v>#NAME?</v>
      </c>
      <c r="K78" s="19"/>
      <c r="L78" s="113"/>
      <c r="M78" s="114"/>
      <c r="N78" s="114"/>
      <c r="O78" s="114"/>
      <c r="P78" s="114"/>
      <c r="Q78" s="121"/>
      <c r="R78" s="86" t="e">
        <f t="shared" ca="1" si="3"/>
        <v>#NAME?</v>
      </c>
      <c r="S78" s="83"/>
      <c r="T78" s="92"/>
      <c r="U78" s="93"/>
      <c r="V78" s="93"/>
      <c r="W78" s="93"/>
      <c r="X78" s="93"/>
      <c r="Y78" s="93"/>
      <c r="Z78" s="19"/>
      <c r="AA78" s="25"/>
      <c r="AB78" s="25"/>
      <c r="AC78" s="25"/>
      <c r="AD78" s="83"/>
      <c r="AE78" s="113">
        <v>34.386299999999999</v>
      </c>
      <c r="AF78" s="114">
        <v>35.678100000000001</v>
      </c>
      <c r="AG78" s="121">
        <v>37.651299999999999</v>
      </c>
      <c r="AI78" s="141"/>
      <c r="AJ78" s="141"/>
      <c r="AK78" s="141"/>
      <c r="AL78" s="141"/>
    </row>
    <row r="79" spans="1:38" ht="15" customHeight="1" x14ac:dyDescent="0.2">
      <c r="B79" s="37" t="s">
        <v>55</v>
      </c>
      <c r="C79" s="61">
        <v>22</v>
      </c>
      <c r="D79" s="24"/>
      <c r="E79" s="24"/>
      <c r="F79" s="24"/>
      <c r="G79" s="24"/>
      <c r="H79" s="101"/>
      <c r="I79" s="102"/>
      <c r="J79" s="85" t="e">
        <f t="shared" ca="1" si="2"/>
        <v>#NAME?</v>
      </c>
      <c r="K79" s="19"/>
      <c r="L79" s="111"/>
      <c r="M79" s="112"/>
      <c r="N79" s="112"/>
      <c r="O79" s="112"/>
      <c r="P79" s="112"/>
      <c r="Q79" s="120"/>
      <c r="R79" s="85" t="e">
        <f t="shared" ca="1" si="3"/>
        <v>#NAME?</v>
      </c>
      <c r="S79" s="83"/>
      <c r="T79" s="90" t="e">
        <f ca="1">bdrate(D79:D82,E79:E82,L79:L82,M79:M82)</f>
        <v>#NAME?</v>
      </c>
      <c r="U79" s="91" t="e">
        <f ca="1">bdrate(D79:D82,F79:F82,L79:L82,N79:N82)</f>
        <v>#NAME?</v>
      </c>
      <c r="V79" s="91" t="e">
        <f ca="1">bdrate(D79:D82,G79:G82,L79:L82,O79:O82)</f>
        <v>#NAME?</v>
      </c>
      <c r="W79" s="91" t="e">
        <f ca="1">bdrateOld(D79:D82,E79:E82,L79:L82,M79:M82)</f>
        <v>#NAME?</v>
      </c>
      <c r="X79" s="91" t="e">
        <f ca="1">bdrateOld(D79:D82,F79:F82,L79:L82,N79:N82)</f>
        <v>#NAME?</v>
      </c>
      <c r="Y79" s="91" t="e">
        <f ca="1">bdrateOld(D79:D82,G79:G82,L79:L82,O79:O82)</f>
        <v>#NAME?</v>
      </c>
      <c r="Z79" s="19"/>
      <c r="AA79" s="24"/>
      <c r="AB79" s="24"/>
      <c r="AC79" s="24"/>
      <c r="AD79" s="83"/>
      <c r="AE79" s="111">
        <v>48.308999999999997</v>
      </c>
      <c r="AF79" s="112">
        <v>53.040900000000001</v>
      </c>
      <c r="AG79" s="120">
        <v>54.145699999999998</v>
      </c>
      <c r="AI79" s="141"/>
      <c r="AJ79" s="141"/>
      <c r="AK79" s="141"/>
      <c r="AL79" s="141"/>
    </row>
    <row r="80" spans="1:38" ht="15" customHeight="1" x14ac:dyDescent="0.2">
      <c r="B80" s="36"/>
      <c r="C80" s="19">
        <v>27</v>
      </c>
      <c r="D80" s="24"/>
      <c r="E80" s="24"/>
      <c r="F80" s="24"/>
      <c r="G80" s="24"/>
      <c r="H80" s="101"/>
      <c r="I80" s="102"/>
      <c r="J80" s="85" t="e">
        <f t="shared" ca="1" si="2"/>
        <v>#NAME?</v>
      </c>
      <c r="K80" s="19"/>
      <c r="L80" s="111"/>
      <c r="M80" s="112"/>
      <c r="N80" s="112"/>
      <c r="O80" s="112"/>
      <c r="P80" s="112"/>
      <c r="Q80" s="120"/>
      <c r="R80" s="85" t="e">
        <f t="shared" ca="1" si="3"/>
        <v>#NAME?</v>
      </c>
      <c r="S80" s="83"/>
      <c r="T80" s="90"/>
      <c r="U80" s="91"/>
      <c r="V80" s="91"/>
      <c r="W80" s="91"/>
      <c r="X80" s="91"/>
      <c r="Y80" s="91"/>
      <c r="Z80" s="19"/>
      <c r="AA80" s="24"/>
      <c r="AB80" s="24"/>
      <c r="AC80" s="24"/>
      <c r="AD80" s="83"/>
      <c r="AE80" s="111">
        <v>44.660800000000002</v>
      </c>
      <c r="AF80" s="112">
        <v>50.062399999999997</v>
      </c>
      <c r="AG80" s="120">
        <v>51.340699999999998</v>
      </c>
      <c r="AI80" s="141"/>
      <c r="AJ80" s="141"/>
      <c r="AK80" s="141"/>
      <c r="AL80" s="141"/>
    </row>
    <row r="81" spans="1:38" ht="15" customHeight="1" x14ac:dyDescent="0.2">
      <c r="B81" s="36"/>
      <c r="C81" s="19">
        <v>32</v>
      </c>
      <c r="D81" s="24"/>
      <c r="E81" s="24"/>
      <c r="F81" s="24"/>
      <c r="G81" s="24"/>
      <c r="H81" s="101"/>
      <c r="I81" s="102"/>
      <c r="J81" s="85" t="e">
        <f t="shared" ca="1" si="2"/>
        <v>#NAME?</v>
      </c>
      <c r="K81" s="19"/>
      <c r="L81" s="111"/>
      <c r="M81" s="112"/>
      <c r="N81" s="112"/>
      <c r="O81" s="112"/>
      <c r="P81" s="112"/>
      <c r="Q81" s="120"/>
      <c r="R81" s="85" t="e">
        <f t="shared" ca="1" si="3"/>
        <v>#NAME?</v>
      </c>
      <c r="S81" s="83"/>
      <c r="T81" s="90"/>
      <c r="U81" s="91"/>
      <c r="V81" s="91"/>
      <c r="W81" s="91"/>
      <c r="X81" s="91"/>
      <c r="Y81" s="91"/>
      <c r="Z81" s="19"/>
      <c r="AA81" s="24"/>
      <c r="AB81" s="24"/>
      <c r="AC81" s="24"/>
      <c r="AD81" s="83"/>
      <c r="AE81" s="111">
        <v>40.994199999999999</v>
      </c>
      <c r="AF81" s="112">
        <v>47.174300000000002</v>
      </c>
      <c r="AG81" s="120">
        <v>48.834699999999998</v>
      </c>
      <c r="AI81" s="141"/>
      <c r="AJ81" s="141"/>
      <c r="AK81" s="141"/>
      <c r="AL81" s="141"/>
    </row>
    <row r="82" spans="1:38" ht="15" customHeight="1" thickBot="1" x14ac:dyDescent="0.25">
      <c r="B82" s="42"/>
      <c r="C82" s="20">
        <v>37</v>
      </c>
      <c r="D82" s="33"/>
      <c r="E82" s="33"/>
      <c r="F82" s="33"/>
      <c r="G82" s="33"/>
      <c r="H82" s="107"/>
      <c r="I82" s="108"/>
      <c r="J82" s="87" t="e">
        <f t="shared" ca="1" si="2"/>
        <v>#NAME?</v>
      </c>
      <c r="K82" s="19"/>
      <c r="L82" s="117"/>
      <c r="M82" s="118"/>
      <c r="N82" s="118"/>
      <c r="O82" s="118"/>
      <c r="P82" s="118"/>
      <c r="Q82" s="124"/>
      <c r="R82" s="87" t="e">
        <f t="shared" ca="1" si="3"/>
        <v>#NAME?</v>
      </c>
      <c r="S82" s="83"/>
      <c r="T82" s="96"/>
      <c r="U82" s="97"/>
      <c r="V82" s="97"/>
      <c r="W82" s="97"/>
      <c r="X82" s="97"/>
      <c r="Y82" s="97"/>
      <c r="Z82" s="19"/>
      <c r="AA82" s="33"/>
      <c r="AB82" s="33"/>
      <c r="AC82" s="33"/>
      <c r="AD82" s="83"/>
      <c r="AE82" s="117">
        <v>37.215699999999998</v>
      </c>
      <c r="AF82" s="118">
        <v>44.252699999999997</v>
      </c>
      <c r="AG82" s="124">
        <v>46.293100000000003</v>
      </c>
      <c r="AI82" s="141"/>
      <c r="AJ82" s="141"/>
      <c r="AK82" s="141"/>
      <c r="AL82" s="141"/>
    </row>
    <row r="83" spans="1:38" ht="15" customHeight="1" x14ac:dyDescent="0.25">
      <c r="A83" s="54" t="s">
        <v>28</v>
      </c>
      <c r="B83" s="34" t="s">
        <v>45</v>
      </c>
      <c r="C83" s="18">
        <v>22</v>
      </c>
      <c r="D83" s="43"/>
      <c r="E83" s="43"/>
      <c r="F83" s="43"/>
      <c r="G83" s="43"/>
      <c r="H83" s="99"/>
      <c r="I83" s="100"/>
      <c r="J83" s="85" t="e">
        <f t="shared" ca="1" si="2"/>
        <v>#NAME?</v>
      </c>
      <c r="K83" s="19"/>
      <c r="L83" s="111"/>
      <c r="M83" s="112"/>
      <c r="N83" s="112"/>
      <c r="O83" s="112"/>
      <c r="P83" s="112"/>
      <c r="Q83" s="120"/>
      <c r="R83" s="85" t="e">
        <f t="shared" ca="1" si="3"/>
        <v>#NAME?</v>
      </c>
      <c r="S83" s="83"/>
      <c r="T83" s="90" t="e">
        <f ca="1">bdrate(D83:D86,E83:E86,L83:L86,M83:M86)</f>
        <v>#NAME?</v>
      </c>
      <c r="U83" s="91" t="e">
        <f ca="1">bdrate(D83:D86,F83:F86,L83:L86,N83:N86)</f>
        <v>#NAME?</v>
      </c>
      <c r="V83" s="91" t="e">
        <f ca="1">bdrate(D83:D86,G83:G86,L83:L86,O83:O86)</f>
        <v>#NAME?</v>
      </c>
      <c r="W83" s="91" t="e">
        <f ca="1">bdrateOld(D83:D86,E83:E86,L83:L86,M83:M86)</f>
        <v>#NAME?</v>
      </c>
      <c r="X83" s="91" t="e">
        <f ca="1">bdrateOld(D83:D86,F83:F86,L83:L86,N83:N86)</f>
        <v>#NAME?</v>
      </c>
      <c r="Y83" s="91" t="e">
        <f ca="1">bdrateOld(D83:D86,G83:G86,L83:L86,O83:O86)</f>
        <v>#NAME?</v>
      </c>
      <c r="Z83" s="19"/>
      <c r="AA83" s="43"/>
      <c r="AB83" s="43"/>
      <c r="AC83" s="43"/>
      <c r="AD83" s="83"/>
      <c r="AE83" s="111">
        <v>45.9255</v>
      </c>
      <c r="AF83" s="112">
        <v>49.7624</v>
      </c>
      <c r="AG83" s="120">
        <v>49.828499999999998</v>
      </c>
      <c r="AI83" s="141"/>
      <c r="AJ83" s="141"/>
      <c r="AK83" s="141"/>
      <c r="AL83" s="141"/>
    </row>
    <row r="84" spans="1:38" ht="15" customHeight="1" x14ac:dyDescent="0.2">
      <c r="B84" s="36"/>
      <c r="C84" s="19">
        <v>27</v>
      </c>
      <c r="D84" s="24"/>
      <c r="E84" s="24"/>
      <c r="F84" s="24"/>
      <c r="G84" s="24"/>
      <c r="H84" s="101"/>
      <c r="I84" s="102"/>
      <c r="J84" s="85" t="e">
        <f t="shared" ca="1" si="2"/>
        <v>#NAME?</v>
      </c>
      <c r="K84" s="19"/>
      <c r="L84" s="111"/>
      <c r="M84" s="112"/>
      <c r="N84" s="112"/>
      <c r="O84" s="112"/>
      <c r="P84" s="112"/>
      <c r="Q84" s="120"/>
      <c r="R84" s="85" t="e">
        <f t="shared" ca="1" si="3"/>
        <v>#NAME?</v>
      </c>
      <c r="S84" s="83"/>
      <c r="T84" s="90"/>
      <c r="U84" s="91"/>
      <c r="V84" s="91"/>
      <c r="W84" s="91"/>
      <c r="X84" s="91"/>
      <c r="Y84" s="91"/>
      <c r="Z84" s="19"/>
      <c r="AA84" s="24"/>
      <c r="AB84" s="24"/>
      <c r="AC84" s="24"/>
      <c r="AD84" s="83"/>
      <c r="AE84" s="111">
        <v>42.514600000000002</v>
      </c>
      <c r="AF84" s="112">
        <v>46.723999999999997</v>
      </c>
      <c r="AG84" s="120">
        <v>46.673099999999998</v>
      </c>
      <c r="AI84" s="141"/>
      <c r="AJ84" s="141"/>
      <c r="AK84" s="141"/>
      <c r="AL84" s="141"/>
    </row>
    <row r="85" spans="1:38" ht="15" customHeight="1" x14ac:dyDescent="0.2">
      <c r="B85" s="36"/>
      <c r="C85" s="19">
        <v>32</v>
      </c>
      <c r="D85" s="24"/>
      <c r="E85" s="24"/>
      <c r="F85" s="24"/>
      <c r="G85" s="24"/>
      <c r="H85" s="101"/>
      <c r="I85" s="102"/>
      <c r="J85" s="85" t="e">
        <f t="shared" ca="1" si="2"/>
        <v>#NAME?</v>
      </c>
      <c r="K85" s="19"/>
      <c r="L85" s="111"/>
      <c r="M85" s="112"/>
      <c r="N85" s="112"/>
      <c r="O85" s="112"/>
      <c r="P85" s="112"/>
      <c r="Q85" s="120"/>
      <c r="R85" s="85" t="e">
        <f t="shared" ca="1" si="3"/>
        <v>#NAME?</v>
      </c>
      <c r="S85" s="83"/>
      <c r="T85" s="90"/>
      <c r="U85" s="91"/>
      <c r="V85" s="91"/>
      <c r="W85" s="91"/>
      <c r="X85" s="91"/>
      <c r="Y85" s="91"/>
      <c r="Z85" s="19"/>
      <c r="AA85" s="24"/>
      <c r="AB85" s="24"/>
      <c r="AC85" s="24"/>
      <c r="AD85" s="83"/>
      <c r="AE85" s="111">
        <v>39.0747</v>
      </c>
      <c r="AF85" s="112">
        <v>43.794200000000004</v>
      </c>
      <c r="AG85" s="120">
        <v>43.757800000000003</v>
      </c>
      <c r="AI85" s="141"/>
      <c r="AJ85" s="141"/>
      <c r="AK85" s="141"/>
      <c r="AL85" s="141"/>
    </row>
    <row r="86" spans="1:38" ht="15" customHeight="1" x14ac:dyDescent="0.2">
      <c r="B86" s="36"/>
      <c r="C86" s="60">
        <v>37</v>
      </c>
      <c r="D86" s="24"/>
      <c r="E86" s="24"/>
      <c r="F86" s="24"/>
      <c r="G86" s="24"/>
      <c r="H86" s="101"/>
      <c r="I86" s="102"/>
      <c r="J86" s="86" t="e">
        <f t="shared" ca="1" si="2"/>
        <v>#NAME?</v>
      </c>
      <c r="K86" s="19"/>
      <c r="L86" s="111"/>
      <c r="M86" s="112"/>
      <c r="N86" s="112"/>
      <c r="O86" s="112"/>
      <c r="P86" s="112"/>
      <c r="Q86" s="120"/>
      <c r="R86" s="86" t="e">
        <f t="shared" ca="1" si="3"/>
        <v>#NAME?</v>
      </c>
      <c r="S86" s="83"/>
      <c r="T86" s="90"/>
      <c r="U86" s="91"/>
      <c r="V86" s="91"/>
      <c r="W86" s="91"/>
      <c r="X86" s="91"/>
      <c r="Y86" s="91"/>
      <c r="Z86" s="19"/>
      <c r="AA86" s="24"/>
      <c r="AB86" s="24"/>
      <c r="AC86" s="24"/>
      <c r="AD86" s="83"/>
      <c r="AE86" s="111">
        <v>35.459499999999998</v>
      </c>
      <c r="AF86" s="112">
        <v>40.431600000000003</v>
      </c>
      <c r="AG86" s="120">
        <v>40.573399999999999</v>
      </c>
      <c r="AI86" s="141"/>
      <c r="AJ86" s="141"/>
      <c r="AK86" s="141"/>
      <c r="AL86" s="141"/>
    </row>
    <row r="87" spans="1:38" ht="15" customHeight="1" x14ac:dyDescent="0.2">
      <c r="B87" s="37" t="s">
        <v>46</v>
      </c>
      <c r="C87" s="19">
        <v>22</v>
      </c>
      <c r="D87" s="31"/>
      <c r="E87" s="31"/>
      <c r="F87" s="31"/>
      <c r="G87" s="31"/>
      <c r="H87" s="105"/>
      <c r="I87" s="106"/>
      <c r="J87" s="85" t="e">
        <f t="shared" ca="1" si="2"/>
        <v>#NAME?</v>
      </c>
      <c r="K87" s="19"/>
      <c r="L87" s="115"/>
      <c r="M87" s="116"/>
      <c r="N87" s="116"/>
      <c r="O87" s="116"/>
      <c r="P87" s="116"/>
      <c r="Q87" s="125"/>
      <c r="R87" s="85" t="e">
        <f t="shared" ca="1" si="3"/>
        <v>#NAME?</v>
      </c>
      <c r="S87" s="83"/>
      <c r="T87" s="94" t="e">
        <f ca="1">bdrate(D87:D90,E87:E90,L87:L90,M87:M90)</f>
        <v>#NAME?</v>
      </c>
      <c r="U87" s="95" t="e">
        <f ca="1">bdrate(D87:D90,F87:F90,L87:L90,N87:N90)</f>
        <v>#NAME?</v>
      </c>
      <c r="V87" s="95" t="e">
        <f ca="1">bdrate(D87:D90,G87:G90,L87:L90,O87:O90)</f>
        <v>#NAME?</v>
      </c>
      <c r="W87" s="95" t="e">
        <f ca="1">bdrateOld(D87:D90,E87:E90,L87:L90,M87:M90)</f>
        <v>#NAME?</v>
      </c>
      <c r="X87" s="95" t="e">
        <f ca="1">bdrateOld(D87:D90,F87:F90,L87:L90,N87:N90)</f>
        <v>#NAME?</v>
      </c>
      <c r="Y87" s="95" t="e">
        <f ca="1">bdrateOld(D87:D90,G87:G90,L87:L90,O87:O90)</f>
        <v>#NAME?</v>
      </c>
      <c r="Z87" s="19"/>
      <c r="AA87" s="31"/>
      <c r="AB87" s="31"/>
      <c r="AC87" s="31"/>
      <c r="AD87" s="83"/>
      <c r="AE87" s="115">
        <v>44.944299999999998</v>
      </c>
      <c r="AF87" s="116">
        <v>50.019100000000002</v>
      </c>
      <c r="AG87" s="125">
        <v>50.947099999999999</v>
      </c>
      <c r="AI87" s="141"/>
      <c r="AJ87" s="141"/>
      <c r="AK87" s="141"/>
      <c r="AL87" s="141"/>
    </row>
    <row r="88" spans="1:38" ht="15" customHeight="1" x14ac:dyDescent="0.2">
      <c r="B88" s="36"/>
      <c r="C88" s="19">
        <v>27</v>
      </c>
      <c r="D88" s="24"/>
      <c r="E88" s="24"/>
      <c r="F88" s="24"/>
      <c r="G88" s="24"/>
      <c r="H88" s="101"/>
      <c r="I88" s="102"/>
      <c r="J88" s="85" t="e">
        <f t="shared" ca="1" si="2"/>
        <v>#NAME?</v>
      </c>
      <c r="K88" s="19"/>
      <c r="L88" s="111"/>
      <c r="M88" s="112"/>
      <c r="N88" s="112"/>
      <c r="O88" s="112"/>
      <c r="P88" s="112"/>
      <c r="Q88" s="120"/>
      <c r="R88" s="85" t="e">
        <f t="shared" ca="1" si="3"/>
        <v>#NAME?</v>
      </c>
      <c r="S88" s="83"/>
      <c r="T88" s="90"/>
      <c r="U88" s="91"/>
      <c r="V88" s="91"/>
      <c r="W88" s="91"/>
      <c r="X88" s="91"/>
      <c r="Y88" s="91"/>
      <c r="Z88" s="19"/>
      <c r="AA88" s="24"/>
      <c r="AB88" s="24"/>
      <c r="AC88" s="24"/>
      <c r="AD88" s="83"/>
      <c r="AE88" s="111">
        <v>41.495899999999999</v>
      </c>
      <c r="AF88" s="112">
        <v>47.209699999999998</v>
      </c>
      <c r="AG88" s="120">
        <v>47.985900000000001</v>
      </c>
      <c r="AI88" s="141"/>
      <c r="AJ88" s="141"/>
      <c r="AK88" s="141"/>
      <c r="AL88" s="141"/>
    </row>
    <row r="89" spans="1:38" ht="15" customHeight="1" x14ac:dyDescent="0.2">
      <c r="B89" s="36"/>
      <c r="C89" s="19">
        <v>32</v>
      </c>
      <c r="D89" s="24"/>
      <c r="E89" s="24"/>
      <c r="F89" s="24"/>
      <c r="G89" s="24"/>
      <c r="H89" s="101"/>
      <c r="I89" s="102"/>
      <c r="J89" s="85" t="e">
        <f t="shared" ca="1" si="2"/>
        <v>#NAME?</v>
      </c>
      <c r="K89" s="19"/>
      <c r="L89" s="111"/>
      <c r="M89" s="112"/>
      <c r="N89" s="112"/>
      <c r="O89" s="112"/>
      <c r="P89" s="112"/>
      <c r="Q89" s="120"/>
      <c r="R89" s="85" t="e">
        <f t="shared" ca="1" si="3"/>
        <v>#NAME?</v>
      </c>
      <c r="S89" s="83"/>
      <c r="T89" s="90"/>
      <c r="U89" s="91"/>
      <c r="V89" s="91"/>
      <c r="W89" s="91"/>
      <c r="X89" s="91"/>
      <c r="Y89" s="91"/>
      <c r="Z89" s="19"/>
      <c r="AA89" s="24"/>
      <c r="AB89" s="24"/>
      <c r="AC89" s="24"/>
      <c r="AD89" s="83"/>
      <c r="AE89" s="111">
        <v>38.137799999999999</v>
      </c>
      <c r="AF89" s="112">
        <v>44.389800000000001</v>
      </c>
      <c r="AG89" s="120">
        <v>45.2714</v>
      </c>
      <c r="AI89" s="141"/>
      <c r="AJ89" s="141"/>
      <c r="AK89" s="141"/>
      <c r="AL89" s="141"/>
    </row>
    <row r="90" spans="1:38" ht="15" customHeight="1" thickBot="1" x14ac:dyDescent="0.25">
      <c r="B90" s="42"/>
      <c r="C90" s="20">
        <v>37</v>
      </c>
      <c r="D90" s="33"/>
      <c r="E90" s="33"/>
      <c r="F90" s="33"/>
      <c r="G90" s="33"/>
      <c r="H90" s="107"/>
      <c r="I90" s="108"/>
      <c r="J90" s="87" t="e">
        <f t="shared" ca="1" si="2"/>
        <v>#NAME?</v>
      </c>
      <c r="K90" s="19"/>
      <c r="L90" s="117"/>
      <c r="M90" s="118"/>
      <c r="N90" s="118"/>
      <c r="O90" s="118"/>
      <c r="P90" s="118"/>
      <c r="Q90" s="124"/>
      <c r="R90" s="87" t="e">
        <f t="shared" ca="1" si="3"/>
        <v>#NAME?</v>
      </c>
      <c r="S90" s="83"/>
      <c r="T90" s="96"/>
      <c r="U90" s="97"/>
      <c r="V90" s="97"/>
      <c r="W90" s="97"/>
      <c r="X90" s="97"/>
      <c r="Y90" s="97"/>
      <c r="Z90" s="19"/>
      <c r="AA90" s="33"/>
      <c r="AB90" s="33"/>
      <c r="AC90" s="33"/>
      <c r="AD90" s="83"/>
      <c r="AE90" s="117">
        <v>34.724699999999999</v>
      </c>
      <c r="AF90" s="118">
        <v>41.529400000000003</v>
      </c>
      <c r="AG90" s="124">
        <v>42.595999999999997</v>
      </c>
      <c r="AI90" s="141"/>
      <c r="AJ90" s="141"/>
      <c r="AK90" s="141"/>
      <c r="AL90" s="141"/>
    </row>
    <row r="91" spans="1:38" ht="15" customHeight="1" x14ac:dyDescent="0.25">
      <c r="A91" s="54" t="s">
        <v>29</v>
      </c>
      <c r="B91" s="34" t="s">
        <v>47</v>
      </c>
      <c r="C91" s="18">
        <v>22</v>
      </c>
      <c r="D91" s="43"/>
      <c r="E91" s="43"/>
      <c r="F91" s="43"/>
      <c r="G91" s="43"/>
      <c r="H91" s="99"/>
      <c r="I91" s="100"/>
      <c r="J91" s="85" t="e">
        <f t="shared" ca="1" si="2"/>
        <v>#NAME?</v>
      </c>
      <c r="K91" s="19"/>
      <c r="L91" s="111"/>
      <c r="M91" s="112"/>
      <c r="N91" s="112"/>
      <c r="O91" s="112"/>
      <c r="P91" s="112"/>
      <c r="Q91" s="120"/>
      <c r="R91" s="85" t="e">
        <f t="shared" ca="1" si="3"/>
        <v>#NAME?</v>
      </c>
      <c r="S91" s="83"/>
      <c r="T91" s="90" t="e">
        <f ca="1">bdrate(D91:D94,E91:E94,L91:L94,M91:M94)</f>
        <v>#NAME?</v>
      </c>
      <c r="U91" s="91" t="e">
        <f ca="1">bdrate(D91:D94,F91:F94,L91:L94,N91:N94)</f>
        <v>#NAME?</v>
      </c>
      <c r="V91" s="91" t="e">
        <f ca="1">bdrate(D91:D94,G91:G94,L91:L94,O91:O94)</f>
        <v>#NAME?</v>
      </c>
      <c r="W91" s="91" t="e">
        <f ca="1">bdrateOld(D91:D94,E91:E94,L91:L94,M91:M94)</f>
        <v>#NAME?</v>
      </c>
      <c r="X91" s="91" t="e">
        <f ca="1">bdrateOld(D91:D94,F91:F94,L91:L94,N91:N94)</f>
        <v>#NAME?</v>
      </c>
      <c r="Y91" s="91" t="e">
        <f ca="1">bdrateOld(D91:D94,G91:G94,L91:L94,O91:O94)</f>
        <v>#NAME?</v>
      </c>
      <c r="Z91" s="19"/>
      <c r="AA91" s="43"/>
      <c r="AB91" s="43"/>
      <c r="AC91" s="43"/>
      <c r="AD91" s="83"/>
      <c r="AE91" s="111">
        <v>46.193100000000001</v>
      </c>
      <c r="AF91" s="112">
        <v>49.613</v>
      </c>
      <c r="AG91" s="120">
        <v>49.917000000000002</v>
      </c>
      <c r="AI91" s="141"/>
      <c r="AJ91" s="141"/>
      <c r="AK91" s="141"/>
      <c r="AL91" s="141"/>
    </row>
    <row r="92" spans="1:38" ht="15" customHeight="1" x14ac:dyDescent="0.2">
      <c r="B92" s="36"/>
      <c r="C92" s="19">
        <v>27</v>
      </c>
      <c r="D92" s="24"/>
      <c r="E92" s="24"/>
      <c r="F92" s="24"/>
      <c r="G92" s="24"/>
      <c r="H92" s="101"/>
      <c r="I92" s="102"/>
      <c r="J92" s="85" t="e">
        <f t="shared" ca="1" si="2"/>
        <v>#NAME?</v>
      </c>
      <c r="K92" s="19"/>
      <c r="L92" s="111"/>
      <c r="M92" s="112"/>
      <c r="N92" s="112"/>
      <c r="O92" s="112"/>
      <c r="P92" s="112"/>
      <c r="Q92" s="120"/>
      <c r="R92" s="85" t="e">
        <f t="shared" ca="1" si="3"/>
        <v>#NAME?</v>
      </c>
      <c r="S92" s="83"/>
      <c r="T92" s="90"/>
      <c r="U92" s="91"/>
      <c r="V92" s="91"/>
      <c r="W92" s="91"/>
      <c r="X92" s="91"/>
      <c r="Y92" s="91"/>
      <c r="Z92" s="19"/>
      <c r="AA92" s="24"/>
      <c r="AB92" s="24"/>
      <c r="AC92" s="24"/>
      <c r="AD92" s="83"/>
      <c r="AE92" s="111">
        <v>42.458599999999997</v>
      </c>
      <c r="AF92" s="112">
        <v>46.204999999999998</v>
      </c>
      <c r="AG92" s="120">
        <v>46.464199999999998</v>
      </c>
      <c r="AI92" s="141"/>
      <c r="AJ92" s="141"/>
      <c r="AK92" s="141"/>
      <c r="AL92" s="141"/>
    </row>
    <row r="93" spans="1:38" ht="15" customHeight="1" x14ac:dyDescent="0.2">
      <c r="B93" s="36"/>
      <c r="C93" s="19">
        <v>32</v>
      </c>
      <c r="D93" s="24"/>
      <c r="E93" s="24"/>
      <c r="F93" s="24"/>
      <c r="G93" s="24"/>
      <c r="H93" s="101"/>
      <c r="I93" s="102"/>
      <c r="J93" s="85" t="e">
        <f t="shared" ca="1" si="2"/>
        <v>#NAME?</v>
      </c>
      <c r="K93" s="19"/>
      <c r="L93" s="111"/>
      <c r="M93" s="112"/>
      <c r="N93" s="112"/>
      <c r="O93" s="112"/>
      <c r="P93" s="112"/>
      <c r="Q93" s="120"/>
      <c r="R93" s="85" t="e">
        <f t="shared" ca="1" si="3"/>
        <v>#NAME?</v>
      </c>
      <c r="S93" s="83"/>
      <c r="T93" s="90"/>
      <c r="U93" s="91"/>
      <c r="V93" s="91"/>
      <c r="W93" s="91"/>
      <c r="X93" s="91"/>
      <c r="Y93" s="91"/>
      <c r="Z93" s="19"/>
      <c r="AA93" s="24"/>
      <c r="AB93" s="24"/>
      <c r="AC93" s="24"/>
      <c r="AD93" s="83"/>
      <c r="AE93" s="111">
        <v>38.552799999999998</v>
      </c>
      <c r="AF93" s="112">
        <v>42.667299999999997</v>
      </c>
      <c r="AG93" s="120">
        <v>43.219700000000003</v>
      </c>
      <c r="AI93" s="141"/>
      <c r="AJ93" s="141"/>
      <c r="AK93" s="141"/>
      <c r="AL93" s="141"/>
    </row>
    <row r="94" spans="1:38" ht="15" customHeight="1" thickBot="1" x14ac:dyDescent="0.25">
      <c r="B94" s="36"/>
      <c r="C94" s="19">
        <v>37</v>
      </c>
      <c r="D94" s="25"/>
      <c r="E94" s="25"/>
      <c r="F94" s="25"/>
      <c r="G94" s="25"/>
      <c r="H94" s="103"/>
      <c r="I94" s="104"/>
      <c r="J94" s="87" t="e">
        <f t="shared" ca="1" si="2"/>
        <v>#NAME?</v>
      </c>
      <c r="K94" s="19"/>
      <c r="L94" s="111"/>
      <c r="M94" s="112"/>
      <c r="N94" s="112"/>
      <c r="O94" s="112"/>
      <c r="P94" s="112"/>
      <c r="Q94" s="120"/>
      <c r="R94" s="85" t="e">
        <f t="shared" ca="1" si="3"/>
        <v>#NAME?</v>
      </c>
      <c r="S94" s="83"/>
      <c r="T94" s="90"/>
      <c r="U94" s="91"/>
      <c r="V94" s="91"/>
      <c r="W94" s="91"/>
      <c r="X94" s="91"/>
      <c r="Y94" s="91"/>
      <c r="Z94" s="19"/>
      <c r="AA94" s="25"/>
      <c r="AB94" s="25"/>
      <c r="AC94" s="25"/>
      <c r="AD94" s="83"/>
      <c r="AE94" s="111">
        <v>34.598999999999997</v>
      </c>
      <c r="AF94" s="112">
        <v>39.164499999999997</v>
      </c>
      <c r="AG94" s="120">
        <v>39.9587</v>
      </c>
      <c r="AI94" s="141"/>
      <c r="AJ94" s="141"/>
      <c r="AK94" s="141"/>
      <c r="AL94" s="141"/>
    </row>
    <row r="95" spans="1:38" ht="15" customHeight="1" x14ac:dyDescent="0.25">
      <c r="A95" s="54" t="s">
        <v>30</v>
      </c>
      <c r="B95" s="34" t="s">
        <v>56</v>
      </c>
      <c r="C95" s="18">
        <v>22</v>
      </c>
      <c r="D95" s="43"/>
      <c r="E95" s="43"/>
      <c r="F95" s="43"/>
      <c r="G95" s="43"/>
      <c r="H95" s="99"/>
      <c r="I95" s="100"/>
      <c r="J95" s="85" t="e">
        <f t="shared" ca="1" si="2"/>
        <v>#NAME?</v>
      </c>
      <c r="K95" s="19"/>
      <c r="L95" s="109"/>
      <c r="M95" s="110"/>
      <c r="N95" s="110"/>
      <c r="O95" s="110"/>
      <c r="P95" s="110"/>
      <c r="Q95" s="119"/>
      <c r="R95" s="84" t="e">
        <f t="shared" ca="1" si="3"/>
        <v>#NAME?</v>
      </c>
      <c r="S95" s="83"/>
      <c r="T95" s="88" t="e">
        <f ca="1">bdrate(D95:D98,E95:E98,L95:L98,M95:M98)</f>
        <v>#NAME?</v>
      </c>
      <c r="U95" s="89" t="e">
        <f ca="1">bdrate(D95:D98,F95:F98,L95:L98,N95:N98)</f>
        <v>#NAME?</v>
      </c>
      <c r="V95" s="89" t="e">
        <f ca="1">bdrate(D95:D98,G95:G98,L95:L98,O95:O98)</f>
        <v>#NAME?</v>
      </c>
      <c r="W95" s="89" t="e">
        <f ca="1">bdrateOld(D95:D98,E95:E98,L95:L98,M95:M98)</f>
        <v>#NAME?</v>
      </c>
      <c r="X95" s="89" t="e">
        <f ca="1">bdrateOld(D95:D98,F95:F98,L95:L98,N95:N98)</f>
        <v>#NAME?</v>
      </c>
      <c r="Y95" s="89" t="e">
        <f ca="1">bdrateOld(D95:D98,G95:G98,L95:L98,O95:O98)</f>
        <v>#NAME?</v>
      </c>
      <c r="Z95" s="19"/>
      <c r="AA95" s="43"/>
      <c r="AB95" s="43"/>
      <c r="AC95" s="43"/>
      <c r="AD95" s="83"/>
      <c r="AE95" s="109">
        <v>40.628700000000002</v>
      </c>
      <c r="AF95" s="110">
        <v>44.4221</v>
      </c>
      <c r="AG95" s="119">
        <v>43.684199999999997</v>
      </c>
      <c r="AI95" s="141"/>
      <c r="AJ95" s="141"/>
      <c r="AK95" s="141"/>
      <c r="AL95" s="141"/>
    </row>
    <row r="96" spans="1:38" ht="15" customHeight="1" x14ac:dyDescent="0.2">
      <c r="A96" s="52"/>
      <c r="B96" s="36"/>
      <c r="C96" s="19">
        <v>27</v>
      </c>
      <c r="D96" s="24"/>
      <c r="E96" s="24"/>
      <c r="F96" s="24"/>
      <c r="G96" s="24"/>
      <c r="H96" s="101"/>
      <c r="I96" s="102"/>
      <c r="J96" s="85" t="e">
        <f t="shared" ca="1" si="2"/>
        <v>#NAME?</v>
      </c>
      <c r="K96" s="19"/>
      <c r="L96" s="111"/>
      <c r="M96" s="112"/>
      <c r="N96" s="112"/>
      <c r="O96" s="112"/>
      <c r="P96" s="112"/>
      <c r="Q96" s="120"/>
      <c r="R96" s="85" t="e">
        <f t="shared" ca="1" si="3"/>
        <v>#NAME?</v>
      </c>
      <c r="S96" s="83"/>
      <c r="T96" s="90"/>
      <c r="U96" s="91"/>
      <c r="V96" s="91"/>
      <c r="W96" s="91"/>
      <c r="X96" s="91"/>
      <c r="Y96" s="91"/>
      <c r="Z96" s="19"/>
      <c r="AA96" s="24"/>
      <c r="AB96" s="24"/>
      <c r="AC96" s="24"/>
      <c r="AD96" s="83"/>
      <c r="AE96" s="111">
        <v>37.165900000000001</v>
      </c>
      <c r="AF96" s="112">
        <v>41.866799999999998</v>
      </c>
      <c r="AG96" s="120">
        <v>41.165900000000001</v>
      </c>
      <c r="AI96" s="141"/>
      <c r="AJ96" s="141"/>
      <c r="AK96" s="141"/>
      <c r="AL96" s="141"/>
    </row>
    <row r="97" spans="1:38" ht="15" customHeight="1" x14ac:dyDescent="0.2">
      <c r="A97" s="52"/>
      <c r="B97" s="36"/>
      <c r="C97" s="19">
        <v>32</v>
      </c>
      <c r="D97" s="24"/>
      <c r="E97" s="24"/>
      <c r="F97" s="24"/>
      <c r="G97" s="24"/>
      <c r="H97" s="101"/>
      <c r="I97" s="102"/>
      <c r="J97" s="85" t="e">
        <f t="shared" ca="1" si="2"/>
        <v>#NAME?</v>
      </c>
      <c r="K97" s="19"/>
      <c r="L97" s="111"/>
      <c r="M97" s="112"/>
      <c r="N97" s="112"/>
      <c r="O97" s="112"/>
      <c r="P97" s="112"/>
      <c r="Q97" s="120"/>
      <c r="R97" s="85" t="e">
        <f t="shared" ca="1" si="3"/>
        <v>#NAME?</v>
      </c>
      <c r="S97" s="83"/>
      <c r="T97" s="90"/>
      <c r="U97" s="91"/>
      <c r="V97" s="91"/>
      <c r="W97" s="91"/>
      <c r="X97" s="91"/>
      <c r="Y97" s="91"/>
      <c r="Z97" s="19"/>
      <c r="AA97" s="24"/>
      <c r="AB97" s="24"/>
      <c r="AC97" s="24"/>
      <c r="AD97" s="83"/>
      <c r="AE97" s="111">
        <v>34.498399999999997</v>
      </c>
      <c r="AF97" s="112">
        <v>39.859699999999997</v>
      </c>
      <c r="AG97" s="120">
        <v>39.343400000000003</v>
      </c>
      <c r="AI97" s="141"/>
      <c r="AJ97" s="141"/>
      <c r="AK97" s="141"/>
      <c r="AL97" s="141"/>
    </row>
    <row r="98" spans="1:38" ht="15" customHeight="1" thickBot="1" x14ac:dyDescent="0.25">
      <c r="A98" s="56"/>
      <c r="B98" s="42"/>
      <c r="C98" s="20">
        <v>37</v>
      </c>
      <c r="D98" s="33"/>
      <c r="E98" s="33"/>
      <c r="F98" s="33"/>
      <c r="G98" s="33"/>
      <c r="H98" s="107"/>
      <c r="I98" s="108"/>
      <c r="J98" s="87" t="e">
        <f t="shared" ca="1" si="2"/>
        <v>#NAME?</v>
      </c>
      <c r="K98" s="19"/>
      <c r="L98" s="117"/>
      <c r="M98" s="118"/>
      <c r="N98" s="118"/>
      <c r="O98" s="118"/>
      <c r="P98" s="118"/>
      <c r="Q98" s="124"/>
      <c r="R98" s="87" t="e">
        <f t="shared" ca="1" si="3"/>
        <v>#NAME?</v>
      </c>
      <c r="S98" s="83"/>
      <c r="T98" s="96"/>
      <c r="U98" s="97"/>
      <c r="V98" s="97"/>
      <c r="W98" s="97"/>
      <c r="X98" s="97"/>
      <c r="Y98" s="97"/>
      <c r="Z98" s="19"/>
      <c r="AA98" s="33"/>
      <c r="AB98" s="33"/>
      <c r="AC98" s="33"/>
      <c r="AD98" s="83"/>
      <c r="AE98" s="117">
        <v>32.2258</v>
      </c>
      <c r="AF98" s="118">
        <v>37.9968</v>
      </c>
      <c r="AG98" s="124">
        <v>37.741399999999999</v>
      </c>
      <c r="AI98" s="141"/>
      <c r="AJ98" s="141"/>
      <c r="AK98" s="141"/>
      <c r="AL98" s="141"/>
    </row>
    <row r="99" spans="1:38" ht="15" customHeight="1" x14ac:dyDescent="0.25">
      <c r="A99" s="54" t="s">
        <v>34</v>
      </c>
      <c r="B99" s="34" t="s">
        <v>32</v>
      </c>
      <c r="C99" s="18">
        <v>22</v>
      </c>
      <c r="D99" s="43"/>
      <c r="E99" s="43"/>
      <c r="F99" s="43"/>
      <c r="G99" s="43"/>
      <c r="H99" s="99"/>
      <c r="I99" s="100"/>
      <c r="J99" s="85" t="e">
        <f t="shared" ca="1" si="2"/>
        <v>#NAME?</v>
      </c>
      <c r="K99" s="19"/>
      <c r="L99" s="111"/>
      <c r="M99" s="112"/>
      <c r="N99" s="112"/>
      <c r="O99" s="112"/>
      <c r="P99" s="112"/>
      <c r="Q99" s="120"/>
      <c r="R99" s="85" t="e">
        <f t="shared" ca="1" si="3"/>
        <v>#NAME?</v>
      </c>
      <c r="S99" s="83"/>
      <c r="T99" s="90" t="e">
        <f ca="1">bdrate(D99:D102,E99:E102,L99:L102,M99:M102)</f>
        <v>#NAME?</v>
      </c>
      <c r="U99" s="91" t="e">
        <f ca="1">bdrate(D99:D102,F99:F102,L99:L102,N99:N102)</f>
        <v>#NAME?</v>
      </c>
      <c r="V99" s="91" t="e">
        <f ca="1">bdrate(D99:D102,G99:G102,L99:L102,O99:O102)</f>
        <v>#NAME?</v>
      </c>
      <c r="W99" s="91" t="e">
        <f ca="1">bdrateOld(D99:D102,E99:E102,L99:L102,M99:M102)</f>
        <v>#NAME?</v>
      </c>
      <c r="X99" s="91" t="e">
        <f ca="1">bdrateOld(D99:D102,F99:F102,L99:L102,N99:N102)</f>
        <v>#NAME?</v>
      </c>
      <c r="Y99" s="91" t="e">
        <f ca="1">bdrateOld(D99:D102,G99:G102,L99:L102,O99:O102)</f>
        <v>#NAME?</v>
      </c>
      <c r="Z99" s="19"/>
      <c r="AA99" s="43"/>
      <c r="AB99" s="43"/>
      <c r="AC99" s="43"/>
      <c r="AD99" s="83"/>
      <c r="AE99" s="111">
        <v>41.836399999999998</v>
      </c>
      <c r="AF99" s="112">
        <v>46.0715</v>
      </c>
      <c r="AG99" s="120">
        <v>47.414299999999997</v>
      </c>
      <c r="AI99" s="141"/>
      <c r="AJ99" s="141"/>
      <c r="AK99" s="141"/>
      <c r="AL99" s="141"/>
    </row>
    <row r="100" spans="1:38" ht="15" customHeight="1" x14ac:dyDescent="0.2">
      <c r="B100" s="36"/>
      <c r="C100" s="19">
        <v>27</v>
      </c>
      <c r="D100" s="24"/>
      <c r="E100" s="24"/>
      <c r="F100" s="24"/>
      <c r="G100" s="24"/>
      <c r="H100" s="101"/>
      <c r="I100" s="102"/>
      <c r="J100" s="85" t="e">
        <f t="shared" ca="1" si="2"/>
        <v>#NAME?</v>
      </c>
      <c r="K100" s="19"/>
      <c r="L100" s="111"/>
      <c r="M100" s="112"/>
      <c r="N100" s="112"/>
      <c r="O100" s="112"/>
      <c r="P100" s="112"/>
      <c r="Q100" s="120"/>
      <c r="R100" s="85" t="e">
        <f t="shared" ca="1" si="3"/>
        <v>#NAME?</v>
      </c>
      <c r="S100" s="83"/>
      <c r="T100" s="90"/>
      <c r="U100" s="91"/>
      <c r="V100" s="91"/>
      <c r="W100" s="91"/>
      <c r="X100" s="91"/>
      <c r="Y100" s="91"/>
      <c r="Z100" s="19"/>
      <c r="AA100" s="24"/>
      <c r="AB100" s="24"/>
      <c r="AC100" s="24"/>
      <c r="AD100" s="83"/>
      <c r="AE100" s="111">
        <v>38.615699999999997</v>
      </c>
      <c r="AF100" s="112">
        <v>44.599200000000003</v>
      </c>
      <c r="AG100" s="120">
        <v>45.668599999999998</v>
      </c>
      <c r="AI100" s="141"/>
      <c r="AJ100" s="141"/>
      <c r="AK100" s="141"/>
      <c r="AL100" s="141"/>
    </row>
    <row r="101" spans="1:38" ht="15" customHeight="1" x14ac:dyDescent="0.2">
      <c r="B101" s="36"/>
      <c r="C101" s="19">
        <v>32</v>
      </c>
      <c r="D101" s="24"/>
      <c r="E101" s="24"/>
      <c r="F101" s="24"/>
      <c r="G101" s="24"/>
      <c r="H101" s="101"/>
      <c r="I101" s="102"/>
      <c r="J101" s="85" t="e">
        <f t="shared" ca="1" si="2"/>
        <v>#NAME?</v>
      </c>
      <c r="K101" s="19"/>
      <c r="L101" s="111"/>
      <c r="M101" s="112"/>
      <c r="N101" s="112"/>
      <c r="O101" s="112"/>
      <c r="P101" s="112"/>
      <c r="Q101" s="120"/>
      <c r="R101" s="85" t="e">
        <f t="shared" ca="1" si="3"/>
        <v>#NAME?</v>
      </c>
      <c r="S101" s="83"/>
      <c r="T101" s="90"/>
      <c r="U101" s="91"/>
      <c r="V101" s="91"/>
      <c r="W101" s="91"/>
      <c r="X101" s="91"/>
      <c r="Y101" s="91"/>
      <c r="Z101" s="19"/>
      <c r="AA101" s="24"/>
      <c r="AB101" s="24"/>
      <c r="AC101" s="24"/>
      <c r="AD101" s="83"/>
      <c r="AE101" s="111">
        <v>35.616700000000002</v>
      </c>
      <c r="AF101" s="112">
        <v>42.938000000000002</v>
      </c>
      <c r="AG101" s="120">
        <v>43.683399999999999</v>
      </c>
      <c r="AI101" s="141"/>
      <c r="AJ101" s="141"/>
      <c r="AK101" s="141"/>
      <c r="AL101" s="141"/>
    </row>
    <row r="102" spans="1:38" ht="15" customHeight="1" x14ac:dyDescent="0.2">
      <c r="B102" s="36"/>
      <c r="C102" s="60">
        <v>37</v>
      </c>
      <c r="D102" s="25"/>
      <c r="E102" s="25"/>
      <c r="F102" s="25"/>
      <c r="G102" s="25"/>
      <c r="H102" s="103"/>
      <c r="I102" s="104"/>
      <c r="J102" s="86" t="e">
        <f t="shared" ca="1" si="2"/>
        <v>#NAME?</v>
      </c>
      <c r="K102" s="19"/>
      <c r="L102" s="113"/>
      <c r="M102" s="114"/>
      <c r="N102" s="114"/>
      <c r="O102" s="114"/>
      <c r="P102" s="114"/>
      <c r="Q102" s="121"/>
      <c r="R102" s="86" t="e">
        <f t="shared" ca="1" si="3"/>
        <v>#NAME?</v>
      </c>
      <c r="S102" s="83"/>
      <c r="T102" s="92"/>
      <c r="U102" s="93"/>
      <c r="V102" s="93"/>
      <c r="W102" s="93"/>
      <c r="X102" s="93"/>
      <c r="Y102" s="93"/>
      <c r="Z102" s="19"/>
      <c r="AA102" s="25"/>
      <c r="AB102" s="25"/>
      <c r="AC102" s="25"/>
      <c r="AD102" s="83"/>
      <c r="AE102" s="113">
        <v>32.771700000000003</v>
      </c>
      <c r="AF102" s="114">
        <v>41.2179</v>
      </c>
      <c r="AG102" s="121">
        <v>41.525799999999997</v>
      </c>
      <c r="AI102" s="141"/>
      <c r="AJ102" s="141"/>
      <c r="AK102" s="141"/>
      <c r="AL102" s="141"/>
    </row>
    <row r="103" spans="1:38" ht="15" customHeight="1" x14ac:dyDescent="0.2">
      <c r="B103" s="37" t="s">
        <v>33</v>
      </c>
      <c r="C103" s="19">
        <v>22</v>
      </c>
      <c r="D103" s="24"/>
      <c r="E103" s="24"/>
      <c r="F103" s="24"/>
      <c r="G103" s="24"/>
      <c r="H103" s="101"/>
      <c r="I103" s="102"/>
      <c r="J103" s="85" t="e">
        <f t="shared" ca="1" si="2"/>
        <v>#NAME?</v>
      </c>
      <c r="K103" s="19"/>
      <c r="L103" s="111"/>
      <c r="M103" s="112"/>
      <c r="N103" s="112"/>
      <c r="O103" s="112"/>
      <c r="P103" s="112"/>
      <c r="Q103" s="120"/>
      <c r="R103" s="85" t="e">
        <f t="shared" ca="1" si="3"/>
        <v>#NAME?</v>
      </c>
      <c r="S103" s="83"/>
      <c r="T103" s="90" t="e">
        <f ca="1">bdrate(D103:D106,E103:E106,L103:L106,M103:M106)</f>
        <v>#NAME?</v>
      </c>
      <c r="U103" s="91" t="e">
        <f ca="1">bdrate(D103:D106,F103:F106,L103:L106,N103:N106)</f>
        <v>#NAME?</v>
      </c>
      <c r="V103" s="91" t="e">
        <f ca="1">bdrate(D103:D106,G103:G106,L103:L106,O103:O106)</f>
        <v>#NAME?</v>
      </c>
      <c r="W103" s="91" t="e">
        <f ca="1">bdrateOld(D103:D106,E103:E106,L103:L106,M103:M106)</f>
        <v>#NAME?</v>
      </c>
      <c r="X103" s="91" t="e">
        <f ca="1">bdrateOld(D103:D106,F103:F106,L103:L106,N103:N106)</f>
        <v>#NAME?</v>
      </c>
      <c r="Y103" s="91" t="e">
        <f ca="1">bdrateOld(D103:D106,G103:G106,L103:L106,O103:O106)</f>
        <v>#NAME?</v>
      </c>
      <c r="Z103" s="19"/>
      <c r="AA103" s="24"/>
      <c r="AB103" s="24"/>
      <c r="AC103" s="24"/>
      <c r="AD103" s="83"/>
      <c r="AE103" s="111">
        <v>42.072899999999997</v>
      </c>
      <c r="AF103" s="112">
        <v>38.3825</v>
      </c>
      <c r="AG103" s="120">
        <v>42.261899999999997</v>
      </c>
      <c r="AI103" s="141"/>
      <c r="AJ103" s="141"/>
      <c r="AK103" s="141"/>
      <c r="AL103" s="141"/>
    </row>
    <row r="104" spans="1:38" ht="15" customHeight="1" x14ac:dyDescent="0.2">
      <c r="B104" s="36"/>
      <c r="C104" s="19">
        <v>27</v>
      </c>
      <c r="D104" s="24"/>
      <c r="E104" s="24"/>
      <c r="F104" s="24"/>
      <c r="G104" s="24"/>
      <c r="H104" s="101"/>
      <c r="I104" s="102"/>
      <c r="J104" s="85" t="e">
        <f t="shared" ca="1" si="2"/>
        <v>#NAME?</v>
      </c>
      <c r="K104" s="19"/>
      <c r="L104" s="111"/>
      <c r="M104" s="112"/>
      <c r="N104" s="112"/>
      <c r="O104" s="112"/>
      <c r="P104" s="112"/>
      <c r="Q104" s="120"/>
      <c r="R104" s="85" t="e">
        <f t="shared" ca="1" si="3"/>
        <v>#NAME?</v>
      </c>
      <c r="S104" s="83"/>
      <c r="T104" s="90"/>
      <c r="U104" s="91"/>
      <c r="V104" s="91"/>
      <c r="W104" s="91"/>
      <c r="X104" s="91"/>
      <c r="Y104" s="91"/>
      <c r="Z104" s="19"/>
      <c r="AA104" s="24"/>
      <c r="AB104" s="24"/>
      <c r="AC104" s="24"/>
      <c r="AD104" s="83"/>
      <c r="AE104" s="111">
        <v>40.147100000000002</v>
      </c>
      <c r="AF104" s="112">
        <v>37.413200000000003</v>
      </c>
      <c r="AG104" s="120">
        <v>41.296700000000001</v>
      </c>
      <c r="AI104" s="141"/>
      <c r="AJ104" s="141"/>
      <c r="AK104" s="141"/>
      <c r="AL104" s="141"/>
    </row>
    <row r="105" spans="1:38" ht="15" customHeight="1" x14ac:dyDescent="0.2">
      <c r="B105" s="36"/>
      <c r="C105" s="19">
        <v>32</v>
      </c>
      <c r="D105" s="24"/>
      <c r="E105" s="24"/>
      <c r="F105" s="24"/>
      <c r="G105" s="24"/>
      <c r="H105" s="101"/>
      <c r="I105" s="102"/>
      <c r="J105" s="85" t="e">
        <f t="shared" ca="1" si="2"/>
        <v>#NAME?</v>
      </c>
      <c r="K105" s="19"/>
      <c r="L105" s="111"/>
      <c r="M105" s="112"/>
      <c r="N105" s="112"/>
      <c r="O105" s="112"/>
      <c r="P105" s="112"/>
      <c r="Q105" s="120"/>
      <c r="R105" s="85" t="e">
        <f t="shared" ca="1" si="3"/>
        <v>#NAME?</v>
      </c>
      <c r="S105" s="83"/>
      <c r="T105" s="90"/>
      <c r="U105" s="91"/>
      <c r="V105" s="91"/>
      <c r="W105" s="91"/>
      <c r="X105" s="91"/>
      <c r="Y105" s="91"/>
      <c r="Z105" s="19"/>
      <c r="AA105" s="24"/>
      <c r="AB105" s="24"/>
      <c r="AC105" s="24"/>
      <c r="AD105" s="83"/>
      <c r="AE105" s="111">
        <v>37.431399999999996</v>
      </c>
      <c r="AF105" s="112">
        <v>36.912399999999998</v>
      </c>
      <c r="AG105" s="120">
        <v>40.282200000000003</v>
      </c>
      <c r="AI105" s="141"/>
      <c r="AJ105" s="141"/>
      <c r="AK105" s="141"/>
      <c r="AL105" s="141"/>
    </row>
    <row r="106" spans="1:38" ht="15" customHeight="1" thickBot="1" x14ac:dyDescent="0.25">
      <c r="A106" s="126"/>
      <c r="B106" s="42"/>
      <c r="C106" s="20">
        <v>37</v>
      </c>
      <c r="D106" s="33"/>
      <c r="E106" s="33"/>
      <c r="F106" s="33"/>
      <c r="G106" s="33"/>
      <c r="H106" s="107"/>
      <c r="I106" s="108"/>
      <c r="J106" s="85" t="e">
        <f t="shared" ca="1" si="2"/>
        <v>#NAME?</v>
      </c>
      <c r="K106" s="19"/>
      <c r="L106" s="117"/>
      <c r="M106" s="118"/>
      <c r="N106" s="118"/>
      <c r="O106" s="118"/>
      <c r="P106" s="118"/>
      <c r="Q106" s="124"/>
      <c r="R106" s="85" t="e">
        <f t="shared" ca="1" si="3"/>
        <v>#NAME?</v>
      </c>
      <c r="S106" s="83"/>
      <c r="T106" s="96"/>
      <c r="U106" s="97"/>
      <c r="V106" s="97"/>
      <c r="W106" s="97"/>
      <c r="X106" s="97"/>
      <c r="Y106" s="97"/>
      <c r="Z106" s="19"/>
      <c r="AA106" s="33"/>
      <c r="AB106" s="33"/>
      <c r="AC106" s="33"/>
      <c r="AD106" s="83"/>
      <c r="AE106" s="117">
        <v>34.664000000000001</v>
      </c>
      <c r="AF106" s="118">
        <v>36.335799999999999</v>
      </c>
      <c r="AG106" s="124">
        <v>39.295699999999997</v>
      </c>
      <c r="AI106" s="141"/>
      <c r="AJ106" s="141"/>
      <c r="AK106" s="141"/>
      <c r="AL106" s="141"/>
    </row>
    <row r="107" spans="1:38" ht="15" customHeight="1" x14ac:dyDescent="0.2">
      <c r="A107" s="57"/>
      <c r="B107" s="5" t="str">
        <f>Summary!B30</f>
        <v>RGB, text &amp; graphics with motion, 1080p &amp; 720p</v>
      </c>
      <c r="C107" s="5"/>
      <c r="D107" s="6"/>
      <c r="E107" s="6"/>
      <c r="F107" s="6"/>
      <c r="G107" s="6"/>
      <c r="H107" s="6"/>
      <c r="I107" s="74" t="e">
        <f ca="1">geometricMean(I3:I30)</f>
        <v>#NAME?</v>
      </c>
      <c r="J107" s="69" t="e">
        <f ca="1">geometricMean(J3:J30)</f>
        <v>#NAME?</v>
      </c>
      <c r="K107" s="6"/>
      <c r="L107" s="6"/>
      <c r="M107" s="6"/>
      <c r="N107" s="6"/>
      <c r="O107" s="6"/>
      <c r="P107" s="6"/>
      <c r="Q107" s="74" t="e">
        <f ca="1">geometricMean(Q3:Q30)</f>
        <v>#NAME?</v>
      </c>
      <c r="R107" s="69" t="e">
        <f ca="1">geometricMean(R3:R30)</f>
        <v>#NAME?</v>
      </c>
      <c r="S107" s="59"/>
      <c r="T107" s="90" t="e">
        <f t="shared" ref="T107:Y107" ca="1" si="4">AVERAGE(T3:T30)</f>
        <v>#NAME?</v>
      </c>
      <c r="U107" s="90" t="e">
        <f t="shared" ca="1" si="4"/>
        <v>#NAME?</v>
      </c>
      <c r="V107" s="90" t="e">
        <f t="shared" ca="1" si="4"/>
        <v>#NAME?</v>
      </c>
      <c r="W107" s="90" t="e">
        <f t="shared" ca="1" si="4"/>
        <v>#NAME?</v>
      </c>
      <c r="X107" s="90" t="e">
        <f t="shared" ca="1" si="4"/>
        <v>#NAME?</v>
      </c>
      <c r="Y107" s="90" t="e">
        <f t="shared" ca="1" si="4"/>
        <v>#NAME?</v>
      </c>
      <c r="Z107" s="6"/>
      <c r="AA107" s="6"/>
      <c r="AB107" s="6"/>
      <c r="AC107" s="6"/>
      <c r="AD107" s="59"/>
      <c r="AE107" s="6"/>
      <c r="AF107" s="6"/>
      <c r="AG107" s="6"/>
    </row>
    <row r="108" spans="1:38" ht="15" customHeight="1" x14ac:dyDescent="0.2">
      <c r="A108" s="57"/>
      <c r="B108" s="5" t="str">
        <f>Summary!B31</f>
        <v>RGB, mixed content, 1440p &amp; 1080p</v>
      </c>
      <c r="C108" s="5"/>
      <c r="D108" s="6"/>
      <c r="E108" s="6"/>
      <c r="F108" s="6"/>
      <c r="G108" s="6"/>
      <c r="H108" s="6"/>
      <c r="I108" s="75" t="e">
        <f ca="1">geometricMean(I31:I42)</f>
        <v>#NAME?</v>
      </c>
      <c r="J108" s="67" t="e">
        <f ca="1">geometricMean(J31:J42)</f>
        <v>#NAME?</v>
      </c>
      <c r="K108" s="6"/>
      <c r="L108" s="6"/>
      <c r="M108" s="6"/>
      <c r="N108" s="6"/>
      <c r="O108" s="6"/>
      <c r="P108" s="6"/>
      <c r="Q108" s="75" t="e">
        <f ca="1">geometricMean(Q31:Q42)</f>
        <v>#NAME?</v>
      </c>
      <c r="R108" s="67" t="e">
        <f ca="1">geometricMean(R31:R42)</f>
        <v>#NAME?</v>
      </c>
      <c r="T108" s="90" t="e">
        <f t="shared" ref="T108:Y108" ca="1" si="5">AVERAGE(T31:T42)</f>
        <v>#NAME?</v>
      </c>
      <c r="U108" s="90" t="e">
        <f t="shared" ca="1" si="5"/>
        <v>#NAME?</v>
      </c>
      <c r="V108" s="90" t="e">
        <f t="shared" ca="1" si="5"/>
        <v>#NAME?</v>
      </c>
      <c r="W108" s="90" t="e">
        <f t="shared" ca="1" si="5"/>
        <v>#NAME?</v>
      </c>
      <c r="X108" s="90" t="e">
        <f t="shared" ca="1" si="5"/>
        <v>#NAME?</v>
      </c>
      <c r="Y108" s="90" t="e">
        <f t="shared" ca="1" si="5"/>
        <v>#NAME?</v>
      </c>
      <c r="Z108" s="6"/>
      <c r="AA108" s="6"/>
      <c r="AB108" s="6"/>
      <c r="AC108" s="6"/>
      <c r="AE108" s="6"/>
      <c r="AF108" s="6"/>
      <c r="AG108" s="6"/>
    </row>
    <row r="109" spans="1:38" ht="15" customHeight="1" x14ac:dyDescent="0.2">
      <c r="A109" s="58"/>
      <c r="B109" s="5" t="str">
        <f>Summary!B32</f>
        <v>RGB, Animation, 720p</v>
      </c>
      <c r="C109" s="5"/>
      <c r="D109" s="6"/>
      <c r="E109" s="6"/>
      <c r="F109" s="6"/>
      <c r="G109" s="6"/>
      <c r="H109" s="6"/>
      <c r="I109" s="75" t="e">
        <f ca="1">geometricMean(I43:I46)</f>
        <v>#NAME?</v>
      </c>
      <c r="J109" s="67" t="e">
        <f ca="1">geometricMean(J43:J46)</f>
        <v>#NAME?</v>
      </c>
      <c r="K109" s="6"/>
      <c r="L109" s="6"/>
      <c r="M109" s="6"/>
      <c r="N109" s="6"/>
      <c r="O109" s="6"/>
      <c r="P109" s="6"/>
      <c r="Q109" s="75" t="e">
        <f ca="1">geometricMean(Q43:Q46)</f>
        <v>#NAME?</v>
      </c>
      <c r="R109" s="67" t="e">
        <f ca="1">geometricMean(R43:R46)</f>
        <v>#NAME?</v>
      </c>
      <c r="T109" s="90" t="e">
        <f t="shared" ref="T109:Y109" ca="1" si="6">AVERAGE(T43:T46)</f>
        <v>#NAME?</v>
      </c>
      <c r="U109" s="90" t="e">
        <f t="shared" ca="1" si="6"/>
        <v>#NAME?</v>
      </c>
      <c r="V109" s="90" t="e">
        <f t="shared" ca="1" si="6"/>
        <v>#NAME?</v>
      </c>
      <c r="W109" s="90" t="e">
        <f t="shared" ca="1" si="6"/>
        <v>#NAME?</v>
      </c>
      <c r="X109" s="90" t="e">
        <f t="shared" ca="1" si="6"/>
        <v>#NAME?</v>
      </c>
      <c r="Y109" s="90" t="e">
        <f t="shared" ca="1" si="6"/>
        <v>#NAME?</v>
      </c>
      <c r="Z109" s="6"/>
      <c r="AA109" s="6"/>
      <c r="AB109" s="6"/>
      <c r="AC109" s="6"/>
      <c r="AE109" s="6"/>
      <c r="AF109" s="6"/>
      <c r="AG109" s="6"/>
    </row>
    <row r="110" spans="1:38" ht="15" customHeight="1" x14ac:dyDescent="0.2">
      <c r="A110" s="58"/>
      <c r="B110" s="5" t="str">
        <f>Summary!B33</f>
        <v>RGB, camera captured, 1080p</v>
      </c>
      <c r="C110" s="5"/>
      <c r="D110" s="6"/>
      <c r="E110" s="6"/>
      <c r="F110" s="6"/>
      <c r="G110" s="6"/>
      <c r="H110" s="6"/>
      <c r="I110" s="75" t="e">
        <f ca="1">geometricMean(I47:I54)</f>
        <v>#NAME?</v>
      </c>
      <c r="J110" s="67" t="e">
        <f ca="1">geometricMean(J44:J47)</f>
        <v>#NAME?</v>
      </c>
      <c r="K110" s="6"/>
      <c r="L110" s="6"/>
      <c r="M110" s="6"/>
      <c r="N110" s="6"/>
      <c r="O110" s="6"/>
      <c r="P110" s="6"/>
      <c r="Q110" s="75" t="e">
        <f ca="1">geometricMean(Q47:Q54)</f>
        <v>#NAME?</v>
      </c>
      <c r="R110" s="67" t="e">
        <f ca="1">geometricMean(R44:R47)</f>
        <v>#NAME?</v>
      </c>
      <c r="T110" s="90" t="e">
        <f t="shared" ref="T110:Y110" ca="1" si="7">AVERAGE(T47:T54)</f>
        <v>#NAME?</v>
      </c>
      <c r="U110" s="90" t="e">
        <f t="shared" ca="1" si="7"/>
        <v>#NAME?</v>
      </c>
      <c r="V110" s="90" t="e">
        <f t="shared" ca="1" si="7"/>
        <v>#NAME?</v>
      </c>
      <c r="W110" s="90" t="e">
        <f t="shared" ca="1" si="7"/>
        <v>#NAME?</v>
      </c>
      <c r="X110" s="90" t="e">
        <f t="shared" ca="1" si="7"/>
        <v>#NAME?</v>
      </c>
      <c r="Y110" s="90" t="e">
        <f t="shared" ca="1" si="7"/>
        <v>#NAME?</v>
      </c>
      <c r="Z110" s="6"/>
      <c r="AA110" s="6"/>
      <c r="AB110" s="6"/>
      <c r="AC110" s="6"/>
      <c r="AE110" s="6"/>
      <c r="AF110" s="6"/>
      <c r="AG110" s="6"/>
    </row>
    <row r="111" spans="1:38" ht="15" customHeight="1" x14ac:dyDescent="0.2">
      <c r="A111" s="58"/>
      <c r="B111" s="5" t="str">
        <f>Summary!B34</f>
        <v>YUV, text &amp; graphics with motion, 1080p &amp; 720p</v>
      </c>
      <c r="C111" s="5"/>
      <c r="D111" s="6"/>
      <c r="E111" s="6"/>
      <c r="F111" s="6"/>
      <c r="G111" s="6"/>
      <c r="H111" s="6"/>
      <c r="I111" s="75" t="e">
        <f ca="1">geometricMean(I55:I82)</f>
        <v>#NAME?</v>
      </c>
      <c r="J111" s="67" t="e">
        <f ca="1">geometricMean(J55:J82)</f>
        <v>#NAME?</v>
      </c>
      <c r="K111" s="6"/>
      <c r="L111" s="6"/>
      <c r="M111" s="6"/>
      <c r="N111" s="6"/>
      <c r="O111" s="6"/>
      <c r="P111" s="6"/>
      <c r="Q111" s="75" t="e">
        <f ca="1">geometricMean(Q55:Q82)</f>
        <v>#NAME?</v>
      </c>
      <c r="R111" s="67" t="e">
        <f ca="1">geometricMean(R55:R82)</f>
        <v>#NAME?</v>
      </c>
      <c r="T111" s="90" t="e">
        <f t="shared" ref="T111:Y111" ca="1" si="8">AVERAGE(T55:T82)</f>
        <v>#NAME?</v>
      </c>
      <c r="U111" s="90" t="e">
        <f t="shared" ca="1" si="8"/>
        <v>#NAME?</v>
      </c>
      <c r="V111" s="90" t="e">
        <f t="shared" ca="1" si="8"/>
        <v>#NAME?</v>
      </c>
      <c r="W111" s="90" t="e">
        <f t="shared" ca="1" si="8"/>
        <v>#NAME?</v>
      </c>
      <c r="X111" s="90" t="e">
        <f t="shared" ca="1" si="8"/>
        <v>#NAME?</v>
      </c>
      <c r="Y111" s="90" t="e">
        <f t="shared" ca="1" si="8"/>
        <v>#NAME?</v>
      </c>
      <c r="Z111" s="6"/>
      <c r="AA111" s="6"/>
      <c r="AB111" s="6"/>
      <c r="AC111" s="6"/>
      <c r="AE111" s="6"/>
      <c r="AF111" s="6"/>
      <c r="AG111" s="6"/>
    </row>
    <row r="112" spans="1:38" ht="15" customHeight="1" x14ac:dyDescent="0.2">
      <c r="A112" s="58"/>
      <c r="B112" s="5" t="str">
        <f>Summary!B35</f>
        <v>YUV, mixed content, 1440p &amp; 1080p</v>
      </c>
      <c r="C112" s="5"/>
      <c r="D112" s="6"/>
      <c r="E112" s="6"/>
      <c r="F112" s="6"/>
      <c r="G112" s="6"/>
      <c r="H112" s="6"/>
      <c r="I112" s="75" t="e">
        <f ca="1">geometricMean(I83:I94)</f>
        <v>#NAME?</v>
      </c>
      <c r="J112" s="67" t="e">
        <f ca="1">geometricMean(J83:J94)</f>
        <v>#NAME?</v>
      </c>
      <c r="K112" s="6"/>
      <c r="L112" s="6"/>
      <c r="M112" s="6"/>
      <c r="N112" s="6"/>
      <c r="O112" s="6"/>
      <c r="P112" s="6"/>
      <c r="Q112" s="75" t="e">
        <f ca="1">geometricMean(Q83:Q94)</f>
        <v>#NAME?</v>
      </c>
      <c r="R112" s="67" t="e">
        <f ca="1">geometricMean(R83:R94)</f>
        <v>#NAME?</v>
      </c>
      <c r="T112" s="90" t="e">
        <f t="shared" ref="T112:Y112" ca="1" si="9">AVERAGE(T83:T94)</f>
        <v>#NAME?</v>
      </c>
      <c r="U112" s="90" t="e">
        <f t="shared" ca="1" si="9"/>
        <v>#NAME?</v>
      </c>
      <c r="V112" s="90" t="e">
        <f t="shared" ca="1" si="9"/>
        <v>#NAME?</v>
      </c>
      <c r="W112" s="90" t="e">
        <f t="shared" ca="1" si="9"/>
        <v>#NAME?</v>
      </c>
      <c r="X112" s="90" t="e">
        <f t="shared" ca="1" si="9"/>
        <v>#NAME?</v>
      </c>
      <c r="Y112" s="90" t="e">
        <f t="shared" ca="1" si="9"/>
        <v>#NAME?</v>
      </c>
      <c r="Z112" s="6"/>
      <c r="AA112" s="6"/>
      <c r="AB112" s="6"/>
      <c r="AC112" s="6"/>
      <c r="AE112" s="6"/>
      <c r="AF112" s="6"/>
      <c r="AG112" s="6"/>
    </row>
    <row r="113" spans="1:33" ht="15" customHeight="1" x14ac:dyDescent="0.2">
      <c r="A113" s="58"/>
      <c r="B113" s="5" t="str">
        <f>Summary!B36</f>
        <v>YUV, Animation, 720p</v>
      </c>
      <c r="C113" s="5"/>
      <c r="D113" s="6"/>
      <c r="E113" s="6"/>
      <c r="F113" s="6"/>
      <c r="G113" s="6"/>
      <c r="H113" s="6"/>
      <c r="I113" s="75" t="e">
        <f ca="1">geometricMean(I95:I98)</f>
        <v>#NAME?</v>
      </c>
      <c r="J113" s="67" t="e">
        <f ca="1">geometricMean(J95:J98)</f>
        <v>#NAME?</v>
      </c>
      <c r="K113" s="6"/>
      <c r="L113" s="6"/>
      <c r="M113" s="6"/>
      <c r="N113" s="6"/>
      <c r="O113" s="6"/>
      <c r="P113" s="6"/>
      <c r="Q113" s="75" t="e">
        <f ca="1">geometricMean(Q95:Q98)</f>
        <v>#NAME?</v>
      </c>
      <c r="R113" s="67" t="e">
        <f ca="1">geometricMean(R95:R98)</f>
        <v>#NAME?</v>
      </c>
      <c r="S113" s="6"/>
      <c r="T113" s="90" t="e">
        <f t="shared" ref="T113:Y113" ca="1" si="10">AVERAGE(T95:T98)</f>
        <v>#NAME?</v>
      </c>
      <c r="U113" s="90" t="e">
        <f t="shared" ca="1" si="10"/>
        <v>#NAME?</v>
      </c>
      <c r="V113" s="90" t="e">
        <f t="shared" ca="1" si="10"/>
        <v>#NAME?</v>
      </c>
      <c r="W113" s="90" t="e">
        <f t="shared" ca="1" si="10"/>
        <v>#NAME?</v>
      </c>
      <c r="X113" s="90" t="e">
        <f t="shared" ca="1" si="10"/>
        <v>#NAME?</v>
      </c>
      <c r="Y113" s="90" t="e">
        <f t="shared" ca="1" si="10"/>
        <v>#NAME?</v>
      </c>
      <c r="Z113" s="6"/>
      <c r="AA113" s="6"/>
      <c r="AB113" s="6"/>
      <c r="AC113" s="6"/>
      <c r="AD113" s="6"/>
      <c r="AE113" s="6"/>
      <c r="AF113" s="6"/>
      <c r="AG113" s="6"/>
    </row>
    <row r="114" spans="1:33" ht="15" customHeight="1" thickBot="1" x14ac:dyDescent="0.25">
      <c r="A114" s="58"/>
      <c r="B114" s="5" t="str">
        <f>Summary!B37</f>
        <v>YUV, camera captured, 1080p</v>
      </c>
      <c r="C114" s="8"/>
      <c r="D114" s="9"/>
      <c r="E114" s="9"/>
      <c r="F114" s="9"/>
      <c r="G114" s="9"/>
      <c r="H114" s="9"/>
      <c r="I114" s="76" t="e">
        <f ca="1">geometricMean(I99:I106)</f>
        <v>#NAME?</v>
      </c>
      <c r="J114" s="68" t="e">
        <f ca="1">geometricMean(J96:J99)</f>
        <v>#NAME?</v>
      </c>
      <c r="K114" s="9"/>
      <c r="L114" s="9"/>
      <c r="M114" s="9"/>
      <c r="N114" s="9"/>
      <c r="O114" s="9"/>
      <c r="P114" s="9"/>
      <c r="Q114" s="76" t="e">
        <f ca="1">geometricMean(Q99:Q106)</f>
        <v>#NAME?</v>
      </c>
      <c r="R114" s="68" t="e">
        <f ca="1">geometricMean(R96:R99)</f>
        <v>#NAME?</v>
      </c>
      <c r="T114" s="90" t="e">
        <f t="shared" ref="T114:Y114" ca="1" si="11">AVERAGE(T99:T106)</f>
        <v>#NAME?</v>
      </c>
      <c r="U114" s="90" t="e">
        <f t="shared" ca="1" si="11"/>
        <v>#NAME?</v>
      </c>
      <c r="V114" s="90" t="e">
        <f t="shared" ca="1" si="11"/>
        <v>#NAME?</v>
      </c>
      <c r="W114" s="90" t="e">
        <f t="shared" ca="1" si="11"/>
        <v>#NAME?</v>
      </c>
      <c r="X114" s="90" t="e">
        <f t="shared" ca="1" si="11"/>
        <v>#NAME?</v>
      </c>
      <c r="Y114" s="90" t="e">
        <f t="shared" ca="1" si="11"/>
        <v>#NAME?</v>
      </c>
      <c r="Z114" s="6"/>
      <c r="AA114" s="6"/>
      <c r="AB114" s="6"/>
      <c r="AC114" s="6"/>
      <c r="AD114" s="6"/>
      <c r="AE114" s="6"/>
      <c r="AF114" s="6"/>
      <c r="AG114" s="6"/>
    </row>
    <row r="115" spans="1:33" ht="15" customHeight="1" thickBot="1" x14ac:dyDescent="0.25">
      <c r="A115" s="57"/>
      <c r="B115" s="15" t="s">
        <v>1</v>
      </c>
      <c r="C115" s="5"/>
      <c r="D115" s="6"/>
      <c r="E115" s="6"/>
      <c r="F115" s="6"/>
      <c r="G115" s="6"/>
      <c r="H115" s="6"/>
      <c r="I115" s="6"/>
      <c r="J115" s="19"/>
      <c r="K115" s="6"/>
      <c r="L115" s="6"/>
      <c r="M115" s="6"/>
      <c r="N115" s="6"/>
      <c r="O115" s="6"/>
      <c r="P115" s="6"/>
      <c r="Q115" s="6"/>
      <c r="R115" s="19"/>
      <c r="T115" s="96" t="e">
        <f t="shared" ref="T115:Y115" ca="1" si="12">AVERAGE(T3:T106)</f>
        <v>#NAME?</v>
      </c>
      <c r="U115" s="96" t="e">
        <f t="shared" ca="1" si="12"/>
        <v>#NAME?</v>
      </c>
      <c r="V115" s="96" t="e">
        <f t="shared" ca="1" si="12"/>
        <v>#NAME?</v>
      </c>
      <c r="W115" s="96" t="e">
        <f t="shared" ca="1" si="12"/>
        <v>#NAME?</v>
      </c>
      <c r="X115" s="96" t="e">
        <f t="shared" ca="1" si="12"/>
        <v>#NAME?</v>
      </c>
      <c r="Y115" s="96" t="e">
        <f t="shared" ca="1" si="12"/>
        <v>#NAME?</v>
      </c>
      <c r="Z115" s="6"/>
      <c r="AA115" s="6"/>
      <c r="AB115" s="6"/>
      <c r="AC115" s="6"/>
      <c r="AD115" s="6"/>
      <c r="AE115" s="6"/>
      <c r="AF115" s="6"/>
      <c r="AG115" s="6"/>
    </row>
    <row r="116" spans="1:33" ht="15" customHeight="1" x14ac:dyDescent="0.2">
      <c r="A116" s="57"/>
      <c r="B116" s="19" t="s">
        <v>2</v>
      </c>
      <c r="C116" s="16"/>
      <c r="D116" s="27"/>
      <c r="E116" s="27"/>
      <c r="F116" s="27"/>
      <c r="G116" s="27"/>
      <c r="H116" s="27"/>
      <c r="I116" s="74" t="e">
        <f ca="1">geometricMean(I3:I106)</f>
        <v>#NAME?</v>
      </c>
      <c r="J116" s="69" t="e">
        <f ca="1">geometricMean(J3:J106)</f>
        <v>#NAME?</v>
      </c>
      <c r="K116" s="27"/>
      <c r="L116" s="27"/>
      <c r="M116" s="27"/>
      <c r="N116" s="27"/>
      <c r="O116" s="27"/>
      <c r="P116" s="27"/>
      <c r="Q116" s="74" t="e">
        <f ca="1">geometricMean(Q3:Q106)</f>
        <v>#NAME?</v>
      </c>
      <c r="R116" s="69" t="e">
        <f ca="1">geometricMean(R3:R106)</f>
        <v>#NAME?</v>
      </c>
      <c r="Z116" s="6"/>
      <c r="AA116" s="6"/>
      <c r="AB116" s="6"/>
      <c r="AC116" s="6"/>
      <c r="AD116" s="6"/>
      <c r="AE116" s="6"/>
      <c r="AF116" s="6"/>
      <c r="AG116" s="6"/>
    </row>
    <row r="117" spans="1:33" ht="15" customHeight="1" thickBot="1" x14ac:dyDescent="0.25">
      <c r="A117" s="57"/>
      <c r="B117" s="20" t="s">
        <v>3</v>
      </c>
      <c r="C117" s="8"/>
      <c r="D117" s="9"/>
      <c r="E117" s="9"/>
      <c r="F117" s="9"/>
      <c r="G117" s="9"/>
      <c r="H117" s="9"/>
      <c r="I117" s="76" t="e">
        <f ca="1">secToHours(macroSum(I3:I106))</f>
        <v>#NAME?</v>
      </c>
      <c r="J117" s="68" t="e">
        <f ca="1">SUM(J3:J106)</f>
        <v>#NAME?</v>
      </c>
      <c r="K117" s="9"/>
      <c r="L117" s="9"/>
      <c r="M117" s="9"/>
      <c r="N117" s="9"/>
      <c r="O117" s="9"/>
      <c r="P117" s="9"/>
      <c r="Q117" s="76" t="e">
        <f ca="1">secToHours(macroSum(Q3:Q106))</f>
        <v>#NAME?</v>
      </c>
      <c r="R117" s="68" t="e">
        <f ca="1">SUM(R3:R106)</f>
        <v>#NAME?</v>
      </c>
      <c r="Z117" s="6"/>
      <c r="AA117" s="6"/>
      <c r="AB117" s="6"/>
      <c r="AC117" s="6"/>
      <c r="AD117" s="6"/>
      <c r="AE117" s="6"/>
      <c r="AF117" s="6"/>
      <c r="AG117" s="6"/>
    </row>
    <row r="118" spans="1:33" ht="15" customHeight="1" x14ac:dyDescent="0.2">
      <c r="A118" s="52"/>
    </row>
    <row r="119" spans="1:33" ht="15" customHeight="1" x14ac:dyDescent="0.2">
      <c r="A119" s="52"/>
    </row>
    <row r="120" spans="1:33" ht="15" customHeight="1" x14ac:dyDescent="0.2">
      <c r="A120" s="52"/>
      <c r="C120" s="155" t="s">
        <v>15</v>
      </c>
      <c r="D120" s="156"/>
      <c r="I120" s="21"/>
    </row>
    <row r="121" spans="1:33" ht="15" customHeight="1" thickBot="1" x14ac:dyDescent="0.25">
      <c r="A121" s="52"/>
      <c r="C121" s="127" t="s">
        <v>16</v>
      </c>
      <c r="D121" s="128" t="s">
        <v>17</v>
      </c>
    </row>
    <row r="122" spans="1:33" ht="15" customHeight="1" x14ac:dyDescent="0.2">
      <c r="A122" s="52"/>
      <c r="B122" s="69" t="str">
        <f>Summary!B30</f>
        <v>RGB, text &amp; graphics with motion, 1080p &amp; 720p</v>
      </c>
      <c r="C122" s="70" t="e">
        <f t="shared" ref="C122:D129" ca="1" si="13">Q107/I107</f>
        <v>#NAME?</v>
      </c>
      <c r="D122" s="70" t="e">
        <f t="shared" ca="1" si="13"/>
        <v>#NAME?</v>
      </c>
    </row>
    <row r="123" spans="1:33" ht="15" customHeight="1" x14ac:dyDescent="0.2">
      <c r="A123" s="52"/>
      <c r="B123" s="67" t="str">
        <f>Summary!B31</f>
        <v>RGB, mixed content, 1440p &amp; 1080p</v>
      </c>
      <c r="C123" s="65" t="e">
        <f t="shared" ca="1" si="13"/>
        <v>#NAME?</v>
      </c>
      <c r="D123" s="65" t="e">
        <f t="shared" ca="1" si="13"/>
        <v>#NAME?</v>
      </c>
    </row>
    <row r="124" spans="1:33" ht="15" customHeight="1" x14ac:dyDescent="0.2">
      <c r="A124" s="52"/>
      <c r="B124" s="67" t="str">
        <f>Summary!B32</f>
        <v>RGB, Animation, 720p</v>
      </c>
      <c r="C124" s="65" t="e">
        <f t="shared" ca="1" si="13"/>
        <v>#NAME?</v>
      </c>
      <c r="D124" s="65" t="e">
        <f t="shared" ca="1" si="13"/>
        <v>#NAME?</v>
      </c>
    </row>
    <row r="125" spans="1:33" ht="15" customHeight="1" x14ac:dyDescent="0.2">
      <c r="A125" s="52"/>
      <c r="B125" s="67" t="str">
        <f>Summary!B33</f>
        <v>RGB, camera captured, 1080p</v>
      </c>
      <c r="C125" s="65" t="e">
        <f t="shared" ca="1" si="13"/>
        <v>#NAME?</v>
      </c>
      <c r="D125" s="65" t="e">
        <f t="shared" ca="1" si="13"/>
        <v>#NAME?</v>
      </c>
    </row>
    <row r="126" spans="1:33" ht="15" customHeight="1" x14ac:dyDescent="0.2">
      <c r="A126" s="52"/>
      <c r="B126" s="67" t="str">
        <f>Summary!B34</f>
        <v>YUV, text &amp; graphics with motion, 1080p &amp; 720p</v>
      </c>
      <c r="C126" s="65" t="e">
        <f t="shared" ca="1" si="13"/>
        <v>#NAME?</v>
      </c>
      <c r="D126" s="65" t="e">
        <f t="shared" ca="1" si="13"/>
        <v>#NAME?</v>
      </c>
    </row>
    <row r="127" spans="1:33" ht="15" customHeight="1" x14ac:dyDescent="0.2">
      <c r="A127" s="52"/>
      <c r="B127" s="67" t="str">
        <f>Summary!B35</f>
        <v>YUV, mixed content, 1440p &amp; 1080p</v>
      </c>
      <c r="C127" s="65" t="e">
        <f t="shared" ca="1" si="13"/>
        <v>#NAME?</v>
      </c>
      <c r="D127" s="65" t="e">
        <f t="shared" ca="1" si="13"/>
        <v>#NAME?</v>
      </c>
    </row>
    <row r="128" spans="1:33" ht="15" customHeight="1" x14ac:dyDescent="0.2">
      <c r="A128" s="52"/>
      <c r="B128" s="67" t="str">
        <f>Summary!B36</f>
        <v>YUV, Animation, 720p</v>
      </c>
      <c r="C128" s="65" t="e">
        <f t="shared" ca="1" si="13"/>
        <v>#NAME?</v>
      </c>
      <c r="D128" s="65" t="e">
        <f t="shared" ca="1" si="13"/>
        <v>#NAME?</v>
      </c>
    </row>
    <row r="129" spans="1:25" ht="15" customHeight="1" x14ac:dyDescent="0.2">
      <c r="A129" s="52"/>
      <c r="B129" s="67" t="str">
        <f>Summary!B37</f>
        <v>YUV, camera captured, 1080p</v>
      </c>
      <c r="C129" s="65" t="e">
        <f t="shared" ca="1" si="13"/>
        <v>#NAME?</v>
      </c>
      <c r="D129" s="65" t="e">
        <f t="shared" ca="1" si="13"/>
        <v>#NAME?</v>
      </c>
    </row>
    <row r="130" spans="1:25" ht="15" customHeight="1" thickBot="1" x14ac:dyDescent="0.25">
      <c r="A130" s="52"/>
      <c r="B130" s="68" t="s">
        <v>1</v>
      </c>
      <c r="C130" s="66" t="e">
        <f ca="1">Q116/I116</f>
        <v>#NAME?</v>
      </c>
      <c r="D130" s="66" t="e">
        <f ca="1">R116/J116</f>
        <v>#NAME?</v>
      </c>
    </row>
    <row r="131" spans="1:25" x14ac:dyDescent="0.2">
      <c r="A131" s="52"/>
    </row>
    <row r="132" spans="1:25" x14ac:dyDescent="0.2">
      <c r="A132" s="52"/>
      <c r="B132" s="6"/>
      <c r="I132" s="21"/>
    </row>
    <row r="133" spans="1:25" x14ac:dyDescent="0.2">
      <c r="A133" s="53"/>
      <c r="B133" s="6"/>
      <c r="H133" s="4"/>
      <c r="I133" s="21"/>
    </row>
    <row r="134" spans="1:25" ht="12" x14ac:dyDescent="0.2">
      <c r="A134" s="21"/>
      <c r="H134" s="4"/>
      <c r="I134" s="21"/>
    </row>
    <row r="139" spans="1:25" ht="12" x14ac:dyDescent="0.2">
      <c r="A139" s="21"/>
      <c r="I139" s="21"/>
      <c r="T139" s="6"/>
      <c r="U139" s="6"/>
      <c r="V139" s="6"/>
      <c r="W139" s="6"/>
      <c r="X139" s="6"/>
      <c r="Y139" s="6"/>
    </row>
    <row r="140" spans="1:25" ht="12" x14ac:dyDescent="0.2">
      <c r="A140" s="21"/>
      <c r="I140" s="21"/>
      <c r="T140" s="6"/>
      <c r="U140" s="6"/>
      <c r="V140" s="6"/>
      <c r="W140" s="6"/>
      <c r="X140" s="6"/>
      <c r="Y140" s="6"/>
    </row>
    <row r="141" spans="1:25" ht="12" x14ac:dyDescent="0.2">
      <c r="A141" s="21"/>
      <c r="I141" s="21"/>
      <c r="T141" s="11"/>
      <c r="U141" s="11"/>
      <c r="V141" s="11"/>
      <c r="W141" s="11"/>
      <c r="X141" s="11"/>
      <c r="Y141" s="11"/>
    </row>
    <row r="142" spans="1:25" ht="12" x14ac:dyDescent="0.2">
      <c r="A142" s="21"/>
      <c r="I142" s="21"/>
      <c r="T142" s="6"/>
      <c r="U142" s="6"/>
      <c r="V142" s="6"/>
      <c r="W142" s="6"/>
    </row>
    <row r="143" spans="1:25" ht="12" x14ac:dyDescent="0.2">
      <c r="A143" s="21"/>
      <c r="I143" s="21"/>
      <c r="T143" s="6"/>
      <c r="U143" s="6"/>
      <c r="V143" s="6"/>
      <c r="W143" s="6"/>
    </row>
    <row r="144" spans="1:25" ht="12" x14ac:dyDescent="0.2">
      <c r="A144" s="21"/>
      <c r="I144" s="21"/>
      <c r="T144" s="11"/>
      <c r="U144" s="11"/>
      <c r="V144" s="11"/>
      <c r="W144" s="11"/>
    </row>
    <row r="145" spans="1:25" ht="12" x14ac:dyDescent="0.2">
      <c r="A145" s="21"/>
      <c r="I145" s="21"/>
      <c r="T145" s="11"/>
      <c r="U145" s="11"/>
      <c r="V145" s="11"/>
      <c r="W145" s="11"/>
    </row>
    <row r="146" spans="1:25" ht="12" x14ac:dyDescent="0.2">
      <c r="A146" s="21"/>
      <c r="I146" s="21"/>
      <c r="T146" s="6"/>
      <c r="U146" s="6"/>
      <c r="V146" s="6"/>
      <c r="W146" s="6"/>
    </row>
    <row r="147" spans="1:25" ht="12" x14ac:dyDescent="0.2">
      <c r="A147" s="21"/>
      <c r="I147" s="21"/>
      <c r="T147" s="6"/>
      <c r="U147" s="6"/>
      <c r="V147" s="6"/>
      <c r="W147" s="6"/>
    </row>
    <row r="148" spans="1:25" ht="12" x14ac:dyDescent="0.2">
      <c r="A148" s="21"/>
      <c r="I148" s="21"/>
      <c r="T148" s="6"/>
      <c r="U148" s="6"/>
      <c r="V148" s="6"/>
      <c r="W148" s="6"/>
    </row>
    <row r="149" spans="1:25" ht="12" x14ac:dyDescent="0.2">
      <c r="A149" s="21"/>
      <c r="I149" s="21"/>
      <c r="T149" s="6"/>
      <c r="U149" s="6"/>
      <c r="V149" s="6"/>
      <c r="W149" s="6"/>
      <c r="X149" s="6"/>
      <c r="Y149" s="6"/>
    </row>
    <row r="150" spans="1:25" ht="12" x14ac:dyDescent="0.2">
      <c r="A150" s="21"/>
      <c r="I150" s="21"/>
      <c r="T150" s="6"/>
      <c r="U150" s="6"/>
      <c r="V150" s="6"/>
      <c r="W150" s="6"/>
      <c r="X150" s="6"/>
      <c r="Y150" s="6"/>
    </row>
    <row r="151" spans="1:25" ht="12" x14ac:dyDescent="0.2">
      <c r="A151" s="21"/>
      <c r="I151" s="21"/>
      <c r="T151" s="6"/>
      <c r="U151" s="6"/>
      <c r="V151" s="6"/>
      <c r="W151" s="6"/>
      <c r="X151" s="6"/>
      <c r="Y151" s="6"/>
    </row>
    <row r="152" spans="1:25" ht="12" x14ac:dyDescent="0.2">
      <c r="A152" s="21"/>
      <c r="I152" s="21"/>
      <c r="T152" s="11"/>
      <c r="U152" s="11"/>
      <c r="V152" s="11"/>
      <c r="W152" s="11"/>
      <c r="X152" s="11"/>
      <c r="Y152" s="11"/>
    </row>
  </sheetData>
  <mergeCells count="7">
    <mergeCell ref="AA1:AC1"/>
    <mergeCell ref="AE1:AG1"/>
    <mergeCell ref="C120:D120"/>
    <mergeCell ref="D1:J1"/>
    <mergeCell ref="L1:R1"/>
    <mergeCell ref="T1:V1"/>
    <mergeCell ref="W1:Y1"/>
  </mergeCells>
  <conditionalFormatting sqref="AA3:AC106">
    <cfRule type="expression" dxfId="3" priority="1" stopIfTrue="1">
      <formula>E3&lt;AA3</formula>
    </cfRule>
    <cfRule type="expression" dxfId="2" priority="3">
      <formula>E3-AA3&gt;0.5</formula>
    </cfRule>
  </conditionalFormatting>
  <conditionalFormatting sqref="AE3:AG106">
    <cfRule type="expression" dxfId="1" priority="4" stopIfTrue="1">
      <formula>M3&lt;AE3</formula>
    </cfRule>
    <cfRule type="expression" dxfId="0" priority="5">
      <formula>M3-AE3&gt;0.5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AI-SCC</vt:lpstr>
      <vt:lpstr>RA-SCC</vt:lpstr>
      <vt:lpstr>LB-SCC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matteon</dc:creator>
  <cp:lastModifiedBy>maryama</cp:lastModifiedBy>
  <dcterms:created xsi:type="dcterms:W3CDTF">2011-06-30T00:09:01Z</dcterms:created>
  <dcterms:modified xsi:type="dcterms:W3CDTF">2017-11-23T19:33:07Z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_new_ms_pID_72543">
    <vt:lpwstr>(3)dqag0nMLLLT6fz3h8HVuvrv1s/2XHY/kKZD1c0F6N2BD+O6ZVpL9K0Vx5+7a/PjVzid5ju00_x000d_
/5LONZjQwuP8Y53TSDiPotaqvEcLryZRYLqIuDzZY5H+Y9+ZmjdqY8r+zk1eVeQzBJ69ELGX_x000d_
OlmdhMz+mZaAq610N0EcvbbolA+cbLzWFCsqChIReK5TEg6leLw1jfe36b0iXuBp+Lng2IeX_x000d_
SIjVjsjEX7qWvGYJWZ</vt:lpwstr>
  </property>
  <property fmtid="{D5CDD505-2E9C-101B-9397-08002B2CF9AE}" pid="4" name="_new_ms_pID_725431">
    <vt:lpwstr>MTDks3U+MU4Wd8tsDP12/6qMlEgwn1BTAdNNTzUcVZv0XrdO+Y/hEo_x000d_
q5BcuHxiI1Yi9AdgUYlbBGFC6d6cS/+qb80eFVQJipjzy+bw3elaXz6NLLazLQnNYwxYWf5o_x000d_
Qrt6K61LqVKXCFjV9sNRwx+zgdV49QjFqJI/DI+mKwFPsUsa7v13Dn7rH2JgaZXVl51yuWVO_x000d_
vcL5dx5ttVac/gHpNwITPTQmfe0m4oHDX7u7</vt:lpwstr>
  </property>
  <property fmtid="{D5CDD505-2E9C-101B-9397-08002B2CF9AE}" pid="5" name="_new_ms_pID_725432">
    <vt:lpwstr>T+55nXK/S+vkYMidquP6a+6CBRQeyLmiRt98_x000d_
ZvLYsRIt</vt:lpwstr>
  </property>
  <property fmtid="{D5CDD505-2E9C-101B-9397-08002B2CF9AE}" pid="6" name="sflag">
    <vt:lpwstr>1415128291</vt:lpwstr>
  </property>
</Properties>
</file>